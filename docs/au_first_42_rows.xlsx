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Backup\Documents\deepseek-harness\default-workspace\repo\data\outputs\"/>
    </mc:Choice>
  </mc:AlternateContent>
  <bookViews>
    <workbookView windowWidth="28800" windowHeight="12375"/>
  </bookViews>
  <sheets>
    <sheet name="装箱清单" sheetId="1" r:id="rId1"/>
    <sheet name="发票" sheetId="2" r:id="rId2"/>
    <sheet name="申报要素" sheetId="3" r:id="rId3"/>
    <sheet name="销货确认书" sheetId="4" r:id="rId4"/>
    <sheet name="报关单 " sheetId="5" r:id="rId5"/>
  </sheets>
  <definedNames>
    <definedName name="_xlnm.Print_Area" localSheetId="0">装箱清单!$A$1:$N$48</definedName>
    <definedName name="_xlnm.Print_Area" localSheetId="1">发票!$A$1:$J$52</definedName>
    <definedName name="_xlnm.Print_Area" localSheetId="2">申报要素!$A$1:$K$47</definedName>
    <definedName name="_xlnm.Print_Area" localSheetId="3">销货确认书!$A$1:$H$82</definedName>
    <definedName name="_xlnm.Print_Area" localSheetId="4">'报关单 '!$A$1:$P$108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<sst xmlns="http://schemas.openxmlformats.org/spreadsheetml/2006/main" count="1436" uniqueCount="302">
  <si>
    <t>PACKING   LIST
装  箱  清  单</t>
  </si>
  <si>
    <t>To：</t>
  </si>
  <si>
    <t>NO.</t>
  </si>
  <si>
    <t>PRODUCT PICTURES
产品图片</t>
  </si>
  <si>
    <t>DESCRIPTION</t>
  </si>
  <si>
    <t>HS CODE
海关编码</t>
  </si>
  <si>
    <t>Materials
材质</t>
  </si>
  <si>
    <t>QUANTITY
箱数</t>
  </si>
  <si>
    <t>Number of pieces
每箱件数</t>
  </si>
  <si>
    <t>Out packing size &amp;Volum
外箱尺寸和方数</t>
  </si>
  <si>
    <t>Weight
毛重(KGS)</t>
  </si>
  <si>
    <t>Packing Type
包装类型</t>
  </si>
  <si>
    <t>英文品名</t>
  </si>
  <si>
    <t>中文品名</t>
  </si>
  <si>
    <t>L</t>
  </si>
  <si>
    <t>M</t>
  </si>
  <si>
    <t>H</t>
  </si>
  <si>
    <t>CBM</t>
  </si>
  <si>
    <t xml:space="preserve"> G.W.</t>
  </si>
  <si>
    <t>Display Cabinet</t>
  </si>
  <si>
    <t>眼睛展柜</t>
  </si>
  <si>
    <t>9403609990</t>
  </si>
  <si>
    <t>胶合板+玻璃</t>
  </si>
  <si>
    <t>纸箱包装</t>
  </si>
  <si>
    <t>glassescase</t>
  </si>
  <si>
    <t>眼镜盒</t>
  </si>
  <si>
    <t>4202320000</t>
  </si>
  <si>
    <t>PU 人造革包覆（基材马口铁）</t>
  </si>
  <si>
    <t>lens clothes</t>
  </si>
  <si>
    <t>眼镜布</t>
  </si>
  <si>
    <t>6307100000</t>
  </si>
  <si>
    <t>超细纤维镜布</t>
  </si>
  <si>
    <t>Consultation Room 1 - Hanging Cabinet</t>
  </si>
  <si>
    <t>咨询室1-吊柜</t>
  </si>
  <si>
    <t>plywood， HPL,LED tape lights</t>
  </si>
  <si>
    <t>Consultation Room 1 - Desk</t>
  </si>
  <si>
    <t>咨询室1-桌台+配件箱</t>
  </si>
  <si>
    <t>plywood， HPL,LED</t>
  </si>
  <si>
    <t>Consultation Room 2 - Hanging Cabinet</t>
  </si>
  <si>
    <t>咨询室2-吊柜</t>
  </si>
  <si>
    <t>Kitchen Cabinet</t>
  </si>
  <si>
    <t>厨房柜-a吊柜</t>
  </si>
  <si>
    <t>厨房柜-b吊柜+c吊柜</t>
  </si>
  <si>
    <t>厨房柜-C立柜+厨房柜-地柜C</t>
  </si>
  <si>
    <t>厨房柜-d立柜-e立柜</t>
  </si>
  <si>
    <t>厨房柜-地柜a</t>
  </si>
  <si>
    <t>厨房柜-地柜b</t>
  </si>
  <si>
    <t>Consultation Room 2 - Desk</t>
  </si>
  <si>
    <t>咨询室2-桌台</t>
  </si>
  <si>
    <t>plywood， HPL</t>
  </si>
  <si>
    <t>Kitchen cabinets and accessories</t>
  </si>
  <si>
    <t>厨房柜-地柜b/洗手盆配件/水龙头/配件箱</t>
  </si>
  <si>
    <t>Signboard</t>
  </si>
  <si>
    <t>招牌</t>
  </si>
  <si>
    <t>4421999090</t>
  </si>
  <si>
    <t>Plywood</t>
  </si>
  <si>
    <t>Illuminated Letter Sign</t>
  </si>
  <si>
    <t>招牌-发光字</t>
  </si>
  <si>
    <t>9405610000</t>
  </si>
  <si>
    <t>Metal，LED Channel</t>
  </si>
  <si>
    <t>Showcase</t>
  </si>
  <si>
    <t>橱窗展示</t>
  </si>
  <si>
    <t>Steel， Plywood， HPL</t>
  </si>
  <si>
    <t>Motorized Optometry Unit Ophthalmic Chair and Stand</t>
  </si>
  <si>
    <t>验光仪组合台</t>
  </si>
  <si>
    <t>9018500000</t>
  </si>
  <si>
    <t>金属+皮革</t>
  </si>
  <si>
    <t>Ophthalmology Slit Lamp</t>
  </si>
  <si>
    <t>裂隙灯显微镜</t>
  </si>
  <si>
    <t>金属+塑料</t>
  </si>
  <si>
    <t>Auto Phoropter</t>
  </si>
  <si>
    <t>眼镜验光设备综合验光仪</t>
  </si>
  <si>
    <t>Auto lensmeter</t>
  </si>
  <si>
    <t>全自动电脑焦度计</t>
  </si>
  <si>
    <t>9031499000</t>
  </si>
  <si>
    <t>digital PD meter</t>
  </si>
  <si>
    <t>瞳距仪</t>
  </si>
  <si>
    <t>Frame heater warmer</t>
  </si>
  <si>
    <t>眼镜加热设备</t>
  </si>
  <si>
    <t>8516800000</t>
  </si>
  <si>
    <t>Trial Lens Set</t>
  </si>
  <si>
    <t>验光镜片箱</t>
  </si>
  <si>
    <t>Double-layer poster stand</t>
  </si>
  <si>
    <t>双层海报架</t>
  </si>
  <si>
    <t>9403200000</t>
  </si>
  <si>
    <t>镀锌板烤漆</t>
  </si>
  <si>
    <t>Progressive Lens Tester</t>
  </si>
  <si>
    <t>渐进多焦点镜片测试仪</t>
  </si>
  <si>
    <t>9031809090</t>
  </si>
  <si>
    <t>Nose Pads Screws Set</t>
  </si>
  <si>
    <t>眼镜配件工具</t>
  </si>
  <si>
    <t>9003900000</t>
  </si>
  <si>
    <t>塑料</t>
  </si>
  <si>
    <t>Lens Tester</t>
  </si>
  <si>
    <t>变色镜片检测仪</t>
  </si>
  <si>
    <t>9027509090</t>
  </si>
  <si>
    <t>ABS工程塑料+LED 紫光灯珠</t>
  </si>
  <si>
    <t>Vision Color Test Book 2026</t>
  </si>
  <si>
    <t>2026新版眼科色盲书38页</t>
  </si>
  <si>
    <t>4901990000</t>
  </si>
  <si>
    <t>铜版纸</t>
  </si>
  <si>
    <t>Clip on sunglasses</t>
  </si>
  <si>
    <t>墨镜夹片</t>
  </si>
  <si>
    <t>9004100000</t>
  </si>
  <si>
    <t>塑料+金属</t>
  </si>
  <si>
    <t>Marker pen</t>
  </si>
  <si>
    <t>记号笔</t>
  </si>
  <si>
    <t>9608200000</t>
  </si>
  <si>
    <t>Repair Tools Set</t>
  </si>
  <si>
    <t>维修工具套装</t>
  </si>
  <si>
    <t>8205900090</t>
  </si>
  <si>
    <t>不锈钢+塑料+海绵</t>
  </si>
  <si>
    <t>Optical Trial Frame</t>
  </si>
  <si>
    <t>多功能光学试镜架</t>
  </si>
  <si>
    <t>钛合金+塑料</t>
  </si>
  <si>
    <t>Eyeglass Repair Tool</t>
  </si>
  <si>
    <t>眼镜维修镜架工具</t>
  </si>
  <si>
    <t>不锈钢+塑料</t>
  </si>
  <si>
    <t>Layout Blocker</t>
  </si>
  <si>
    <t>中心仪</t>
  </si>
  <si>
    <t>ABS 工程塑料 + 金属五金件 + 光学玻璃 + 亚克力 + 橡胶</t>
  </si>
  <si>
    <t>Human eye model</t>
  </si>
  <si>
    <t>人体眼球仿真模型</t>
  </si>
  <si>
    <t>9023009000</t>
  </si>
  <si>
    <t>PVC</t>
  </si>
  <si>
    <t>Acrylicmagnetic Holder</t>
  </si>
  <si>
    <t>亚克力台卡</t>
  </si>
  <si>
    <t>3926909090</t>
  </si>
  <si>
    <t>亚克力A+内置磁铁</t>
  </si>
  <si>
    <t>Rack Sunglasses Display Stand</t>
  </si>
  <si>
    <t>电动验光升降组合台</t>
  </si>
  <si>
    <t>冷轧钢板（喷塑）+ ABS 工程塑料 + 高密度板 + 碳钢五金 + PU 橡胶</t>
  </si>
  <si>
    <t>Anti Slip Lens Blocking Pads</t>
  </si>
  <si>
    <t>DAS镜片双面贴</t>
  </si>
  <si>
    <t>3919901000</t>
  </si>
  <si>
    <t>PE膜+泡棉</t>
  </si>
  <si>
    <t>Receipt</t>
  </si>
  <si>
    <t>收据本</t>
  </si>
  <si>
    <t>4820200000</t>
  </si>
  <si>
    <t>无碳复写纸</t>
  </si>
  <si>
    <t>TOTAL:</t>
  </si>
  <si>
    <t>包装方式：纸箱包装</t>
  </si>
  <si>
    <t>商  业  发  票
 COMMERCIAL INVOICE</t>
  </si>
  <si>
    <t>发 票 号 码    INVOICE NO.</t>
  </si>
  <si>
    <t>合 同 号 码 CONTRACT NO.</t>
  </si>
  <si>
    <t>日 期  DATE</t>
  </si>
  <si>
    <t>海关编码
HS CODE</t>
  </si>
  <si>
    <t>材质Materials</t>
  </si>
  <si>
    <t>外箱数量
Quantity</t>
  </si>
  <si>
    <t>每箱件数
Number of pieces</t>
  </si>
  <si>
    <t xml:space="preserve">
计价件数
Piece
</t>
  </si>
  <si>
    <t>出口金额</t>
  </si>
  <si>
    <t>Unit Price</t>
  </si>
  <si>
    <t>Amont</t>
  </si>
  <si>
    <t>申报要素</t>
  </si>
  <si>
    <t>合同号:</t>
  </si>
  <si>
    <t>目的地:</t>
  </si>
  <si>
    <t>AUSTRALIA</t>
  </si>
  <si>
    <t>日期：</t>
  </si>
  <si>
    <t>序号</t>
  </si>
  <si>
    <t>品牌</t>
  </si>
  <si>
    <t>品名</t>
  </si>
  <si>
    <t>HS code</t>
  </si>
  <si>
    <t>型号</t>
  </si>
  <si>
    <t>材质</t>
  </si>
  <si>
    <t>用途</t>
  </si>
  <si>
    <t>加工工艺</t>
  </si>
  <si>
    <t>适用场景</t>
  </si>
  <si>
    <t>优惠关税</t>
  </si>
  <si>
    <t>产品图</t>
  </si>
  <si>
    <t>NO</t>
  </si>
  <si>
    <t/>
  </si>
  <si>
    <t>Display</t>
  </si>
  <si>
    <t>CONDITIONAL</t>
  </si>
  <si>
    <t>Functions of the glasses case</t>
  </si>
  <si>
    <t>Clean glasses</t>
  </si>
  <si>
    <t>ChAFTA 0%</t>
  </si>
  <si>
    <t>家具</t>
  </si>
  <si>
    <t>ChAFTA</t>
  </si>
  <si>
    <t>百乐</t>
  </si>
  <si>
    <t>商用记录</t>
  </si>
  <si>
    <t>ChAFTA 7.5%</t>
  </si>
  <si>
    <t>销 货 确 认 书</t>
  </si>
  <si>
    <t xml:space="preserve">   SALES CONFIRMATION</t>
  </si>
  <si>
    <t>卖  方 :</t>
  </si>
  <si>
    <t>集合供应商</t>
  </si>
  <si>
    <t>NO.:</t>
  </si>
  <si>
    <t>SELLERS :</t>
  </si>
  <si>
    <t>DATE:</t>
  </si>
  <si>
    <t>地  址 :</t>
  </si>
  <si>
    <t>SIGNED AT:</t>
  </si>
  <si>
    <t>, CHINA</t>
  </si>
  <si>
    <t>TEL：</t>
  </si>
  <si>
    <t>Email:</t>
  </si>
  <si>
    <t>买  方 ：</t>
  </si>
  <si>
    <t>BUYERS:</t>
  </si>
  <si>
    <t>地  址 ：</t>
  </si>
  <si>
    <t>ADDRESS:</t>
  </si>
  <si>
    <t xml:space="preserve">     兹经买卖双方同意按下列条款成交:</t>
  </si>
  <si>
    <t xml:space="preserve">     The undersigned Sellers and Buyers have agreed to choose the following transactions according to the </t>
  </si>
  <si>
    <t>terms and  Conditions stipulated below:</t>
  </si>
  <si>
    <t>货号</t>
  </si>
  <si>
    <t>品名及规格</t>
  </si>
  <si>
    <t>数  量</t>
  </si>
  <si>
    <t>单  价</t>
  </si>
  <si>
    <t>金  额</t>
  </si>
  <si>
    <t>Description</t>
  </si>
  <si>
    <t>Quantity</t>
  </si>
  <si>
    <t>Amount</t>
  </si>
  <si>
    <t>CIF</t>
  </si>
  <si>
    <t>USD</t>
  </si>
  <si>
    <t>PCS</t>
  </si>
  <si>
    <t>3.包   装:</t>
  </si>
  <si>
    <t>4.装 运 期:</t>
  </si>
  <si>
    <t>Time of Shipment: On or before: ASAP</t>
  </si>
  <si>
    <t>5.装运口岸和目的地:Loading port &amp; Destination：From</t>
  </si>
  <si>
    <t>CHINA To</t>
  </si>
  <si>
    <t>6.保   险:由买方按发票全部金额110%投保至          为止的         险。</t>
  </si>
  <si>
    <t xml:space="preserve">     Insurance. To be affected by Sellers for 110% of full invoice value covering     up to    only.</t>
  </si>
  <si>
    <t>7.付款条件:</t>
  </si>
  <si>
    <t>T/T</t>
  </si>
  <si>
    <t xml:space="preserve">8.装船标记: </t>
  </si>
  <si>
    <t>N/M</t>
  </si>
  <si>
    <t xml:space="preserve">     Shipping mark:</t>
  </si>
  <si>
    <t>9.产  地:</t>
  </si>
  <si>
    <t>中  国</t>
  </si>
  <si>
    <t xml:space="preserve">    The place of origin or production:</t>
  </si>
  <si>
    <t>CHINA</t>
  </si>
  <si>
    <t>10.备  注:</t>
  </si>
  <si>
    <t>Remarks:</t>
  </si>
  <si>
    <t>买   方:</t>
  </si>
  <si>
    <t>卖  方:</t>
  </si>
  <si>
    <t>SELLERS:</t>
  </si>
  <si>
    <t>中华人民共和国海关出口货物报关单</t>
  </si>
  <si>
    <t>预录入编号:</t>
  </si>
  <si>
    <t xml:space="preserve"> 海关编号:</t>
  </si>
  <si>
    <t>(XX海关)</t>
  </si>
  <si>
    <t>页码/页数: 1/1</t>
  </si>
  <si>
    <t xml:space="preserve"> 境内发货人
</t>
  </si>
  <si>
    <t xml:space="preserve"> 出境关别
</t>
  </si>
  <si>
    <t xml:space="preserve"> 出口日期
</t>
  </si>
  <si>
    <t xml:space="preserve"> 申报日期
</t>
  </si>
  <si>
    <t xml:space="preserve"> 备案号
</t>
  </si>
  <si>
    <t xml:space="preserve"> 境外收货人
</t>
  </si>
  <si>
    <t xml:space="preserve"> 运输方式
</t>
  </si>
  <si>
    <t xml:space="preserve"> 运输工具名称及航次号
</t>
  </si>
  <si>
    <t xml:space="preserve"> 提运单号
</t>
  </si>
  <si>
    <t>海运</t>
  </si>
  <si>
    <t xml:space="preserve"> 生产销售单位
</t>
  </si>
  <si>
    <t xml:space="preserve"> 监管方式
</t>
  </si>
  <si>
    <t xml:space="preserve"> 征免性质
</t>
  </si>
  <si>
    <t xml:space="preserve"> 许可证号
</t>
  </si>
  <si>
    <t>一般贸易</t>
  </si>
  <si>
    <t>一般征税</t>
  </si>
  <si>
    <t xml:space="preserve"> 合同协议号
</t>
  </si>
  <si>
    <t xml:space="preserve"> 贸易国(地区)
</t>
  </si>
  <si>
    <t xml:space="preserve"> 运抵国(地区)
</t>
  </si>
  <si>
    <t xml:space="preserve"> 指运港
</t>
  </si>
  <si>
    <t xml:space="preserve"> 离境口岸
</t>
  </si>
  <si>
    <t>澳大利亚</t>
  </si>
  <si>
    <t>MELBOURNE</t>
  </si>
  <si>
    <t>天津</t>
  </si>
  <si>
    <t xml:space="preserve"> 包装种类
</t>
  </si>
  <si>
    <t xml:space="preserve"> 件数
</t>
  </si>
  <si>
    <t xml:space="preserve"> 毛重(千克)
</t>
  </si>
  <si>
    <t xml:space="preserve"> 净重(千克)
</t>
  </si>
  <si>
    <t xml:space="preserve"> 成交方式
</t>
  </si>
  <si>
    <t xml:space="preserve"> 运费
</t>
  </si>
  <si>
    <t xml:space="preserve"> 保费
</t>
  </si>
  <si>
    <t xml:space="preserve"> 杂费
</t>
  </si>
  <si>
    <t>纸箱</t>
  </si>
  <si>
    <t xml:space="preserve"> 随附单证及编号
</t>
  </si>
  <si>
    <t>发票、装箱单、合同</t>
  </si>
  <si>
    <t xml:space="preserve"> 标记唛码及备注 </t>
  </si>
  <si>
    <t xml:space="preserve"> 项号</t>
  </si>
  <si>
    <t>商品编号</t>
  </si>
  <si>
    <t>商品名称及规格型号</t>
  </si>
  <si>
    <t>数量及单位</t>
  </si>
  <si>
    <t>单价/总价/币制</t>
  </si>
  <si>
    <t>原产国(地区)</t>
  </si>
  <si>
    <t>最终目的国(地区)</t>
  </si>
  <si>
    <t>境内货源地</t>
  </si>
  <si>
    <t>征免</t>
  </si>
  <si>
    <t>38094.13 USD</t>
  </si>
  <si>
    <t>中国</t>
  </si>
  <si>
    <t>2688.0 USD</t>
  </si>
  <si>
    <t>1200.0 USD</t>
  </si>
  <si>
    <t>1127.0 USD</t>
  </si>
  <si>
    <t>911.0 USD</t>
  </si>
  <si>
    <t>965.0 USD</t>
  </si>
  <si>
    <t>732.0 USD</t>
  </si>
  <si>
    <t>847.0 USD</t>
  </si>
  <si>
    <t>296.0 USD</t>
  </si>
  <si>
    <t>0.0 USD</t>
  </si>
  <si>
    <t>67.0 USD</t>
  </si>
  <si>
    <t xml:space="preserve"> 报关人员</t>
  </si>
  <si>
    <t>报关人员证号</t>
  </si>
  <si>
    <t>电话</t>
  </si>
  <si>
    <t>兹申明对以上内容承担如实申报、依法纳税之法律责任</t>
  </si>
  <si>
    <t>海关批注及签章</t>
  </si>
  <si>
    <t xml:space="preserve"> 申报单位</t>
  </si>
  <si>
    <t>申报单位（签章）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</si>
</sst>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&quot;US$&quot;#,##0.00"/>
    <numFmt numFmtId="178" formatCode="0_);[Red]\(0\)"/>
    <numFmt numFmtId="179" formatCode="0.00_);[Red]\(0.00\)"/>
    <numFmt numFmtId="180" formatCode="0_ "/>
    <numFmt numFmtId="181" formatCode="0.000"/>
  </numFmts>
  <fonts count="78">
    <font>
      <sz val="12"/>
      <name val="宋体"/>
      <charset val="134"/>
    </font>
    <font>
      <b/>
      <sz val="16"/>
      <name val="宋体"/>
      <charset val="134"/>
    </font>
    <font>
      <sz val="8"/>
      <name val="宋体"/>
      <charset val="134"/>
    </font>
    <font>
      <b/>
      <sz val="9"/>
      <name val="宋体"/>
      <charset val="134"/>
    </font>
    <font>
      <b/>
      <sz val="9"/>
      <color rgb="FFFF0000"/>
      <name val="宋体"/>
      <charset val="134"/>
    </font>
    <font>
      <b/>
      <sz val="10"/>
      <color rgb="FFFF0000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b/>
      <sz val="18"/>
      <name val="宋体"/>
      <charset val="134"/>
    </font>
    <font>
      <b/>
      <sz val="13"/>
      <name val="宋体"/>
      <charset val="134"/>
    </font>
    <font>
      <sz val="11"/>
      <color indexed="8"/>
      <name val="宋体"/>
      <charset val="134"/>
    </font>
    <font>
      <b/>
      <sz val="11"/>
      <color rgb="FFFF0000"/>
      <name val="宋体"/>
      <charset val="134"/>
    </font>
    <font>
      <sz val="10.5"/>
      <color indexed="8"/>
      <name val="宋体"/>
      <charset val="134"/>
    </font>
    <font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sz val="10"/>
      <color indexed="8"/>
      <name val="宋体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b/>
      <sz val="12"/>
      <color indexed="10"/>
      <name val="宋体"/>
      <charset val="134"/>
    </font>
    <font>
      <sz val="11"/>
      <color theme="1"/>
      <name val="宋体"/>
      <charset val="134"/>
    </font>
    <font>
      <sz val="12"/>
      <color indexed="8"/>
      <name val="Calibri"/>
      <charset val="134"/>
    </font>
    <font>
      <sz val="12"/>
      <color theme="1"/>
      <name val="Calibri"/>
      <charset val="134"/>
    </font>
    <font>
      <sz val="11"/>
      <name val="宋体"/>
      <charset val="134"/>
      <scheme val="minor"/>
    </font>
    <font>
      <b/>
      <sz val="12"/>
      <name val="Calibri"/>
      <charset val="134"/>
    </font>
    <font>
      <sz val="12"/>
      <name val="Calibri"/>
      <charset val="134"/>
    </font>
    <font>
      <b/>
      <sz val="12"/>
      <color indexed="8"/>
      <name val="宋体"/>
      <charset val="134"/>
    </font>
    <font>
      <sz val="10.5"/>
      <name val="宋体"/>
      <charset val="134"/>
    </font>
    <font>
      <sz val="10.5"/>
      <color theme="1"/>
      <name val="宋体"/>
      <charset val="134"/>
    </font>
    <font>
      <b/>
      <sz val="10.5"/>
      <color rgb="FFFF0000"/>
      <name val="宋体"/>
      <charset val="134"/>
    </font>
    <font>
      <sz val="10.5"/>
      <color theme="0"/>
      <name val="宋体"/>
      <charset val="134"/>
    </font>
    <font>
      <b/>
      <sz val="10.5"/>
      <color indexed="8"/>
      <name val="宋体"/>
      <charset val="134"/>
    </font>
    <font>
      <sz val="14"/>
      <color indexed="8"/>
      <name val="宋体"/>
      <charset val="134"/>
    </font>
    <font>
      <b/>
      <sz val="26"/>
      <color indexed="8"/>
      <name val="宋体"/>
      <charset val="134"/>
    </font>
    <font>
      <b/>
      <sz val="11"/>
      <color indexed="8"/>
      <name val="宋体"/>
      <charset val="134"/>
    </font>
    <font>
      <b/>
      <sz val="14"/>
      <color indexed="8"/>
      <name val="宋体"/>
      <charset val="134"/>
    </font>
    <font>
      <sz val="12"/>
      <color rgb="FF000000"/>
      <name val="宋体"/>
      <charset val="134"/>
    </font>
    <font>
      <b/>
      <u/>
      <sz val="20"/>
      <color indexed="8"/>
      <name val="宋体"/>
      <charset val="134"/>
    </font>
    <font>
      <sz val="12"/>
      <color rgb="FF000000"/>
      <name val="Calibri"/>
      <charset val="134"/>
    </font>
    <font>
      <sz val="11"/>
      <color theme="0"/>
      <name val="Calibri"/>
      <charset val="134"/>
    </font>
    <font>
      <sz val="14"/>
      <color theme="0"/>
      <name val="Times New Roman"/>
      <charset val="134"/>
    </font>
    <font>
      <b/>
      <sz val="12"/>
      <color theme="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Helv"/>
      <charset val="134"/>
    </font>
    <font>
      <sz val="11"/>
      <color indexed="9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8"/>
      <color indexed="56"/>
      <name val="宋体"/>
      <charset val="134"/>
    </font>
    <font>
      <sz val="11"/>
      <color indexed="20"/>
      <name val="宋体"/>
      <charset val="134"/>
    </font>
    <font>
      <sz val="11"/>
      <color indexed="8"/>
      <name val="Calibri"/>
      <charset val="134"/>
    </font>
    <font>
      <sz val="11"/>
      <color indexed="17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</fonts>
  <fills count="5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6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178">
    <xf numFmtId="0" fontId="0" fillId="0" borderId="0"/>
    <xf numFmtId="43" fontId="42" fillId="0" borderId="0">
      <alignment vertical="center"/>
    </xf>
    <xf numFmtId="44" fontId="42" fillId="0" borderId="0">
      <alignment vertical="center"/>
    </xf>
    <xf numFmtId="9" fontId="42" fillId="0" borderId="0">
      <alignment vertical="center"/>
    </xf>
    <xf numFmtId="41" fontId="42" fillId="0" borderId="0">
      <alignment vertical="center"/>
    </xf>
    <xf numFmtId="42" fontId="42" fillId="0" borderId="0">
      <alignment vertical="center"/>
    </xf>
    <xf numFmtId="0" fontId="15" fillId="0" borderId="0">
      <alignment vertical="center"/>
    </xf>
    <xf numFmtId="0" fontId="43" fillId="0" borderId="0">
      <alignment vertical="center"/>
    </xf>
    <xf numFmtId="0" fontId="42" fillId="3" borderId="5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6" fillId="0" borderId="0">
      <alignment vertical="center"/>
    </xf>
    <xf numFmtId="0" fontId="47" fillId="0" borderId="51">
      <alignment vertical="center"/>
    </xf>
    <xf numFmtId="0" fontId="48" fillId="0" borderId="51">
      <alignment vertical="center"/>
    </xf>
    <xf numFmtId="0" fontId="49" fillId="0" borderId="52">
      <alignment vertical="center"/>
    </xf>
    <xf numFmtId="0" fontId="49" fillId="0" borderId="0">
      <alignment vertical="center"/>
    </xf>
    <xf numFmtId="0" fontId="50" fillId="4" borderId="53">
      <alignment vertical="center"/>
    </xf>
    <xf numFmtId="0" fontId="51" fillId="5" borderId="54">
      <alignment vertical="center"/>
    </xf>
    <xf numFmtId="0" fontId="52" fillId="5" borderId="53">
      <alignment vertical="center"/>
    </xf>
    <xf numFmtId="0" fontId="53" fillId="6" borderId="55">
      <alignment vertical="center"/>
    </xf>
    <xf numFmtId="0" fontId="54" fillId="0" borderId="56">
      <alignment vertical="center"/>
    </xf>
    <xf numFmtId="0" fontId="55" fillId="0" borderId="57">
      <alignment vertical="center"/>
    </xf>
    <xf numFmtId="0" fontId="56" fillId="7" borderId="0">
      <alignment vertical="center"/>
    </xf>
    <xf numFmtId="0" fontId="57" fillId="8" borderId="0">
      <alignment vertical="center"/>
    </xf>
    <xf numFmtId="0" fontId="58" fillId="9" borderId="0">
      <alignment vertical="center"/>
    </xf>
    <xf numFmtId="0" fontId="59" fillId="10" borderId="0">
      <alignment vertical="center"/>
    </xf>
    <xf numFmtId="0" fontId="60" fillId="11" borderId="0">
      <alignment vertical="center"/>
    </xf>
    <xf numFmtId="0" fontId="60" fillId="12" borderId="0">
      <alignment vertical="center"/>
    </xf>
    <xf numFmtId="0" fontId="59" fillId="13" borderId="0">
      <alignment vertical="center"/>
    </xf>
    <xf numFmtId="0" fontId="59" fillId="14" borderId="0">
      <alignment vertical="center"/>
    </xf>
    <xf numFmtId="0" fontId="60" fillId="15" borderId="0">
      <alignment vertical="center"/>
    </xf>
    <xf numFmtId="0" fontId="60" fillId="16" borderId="0">
      <alignment vertical="center"/>
    </xf>
    <xf numFmtId="0" fontId="59" fillId="17" borderId="0">
      <alignment vertical="center"/>
    </xf>
    <xf numFmtId="0" fontId="59" fillId="18" borderId="0">
      <alignment vertical="center"/>
    </xf>
    <xf numFmtId="0" fontId="60" fillId="19" borderId="0">
      <alignment vertical="center"/>
    </xf>
    <xf numFmtId="0" fontId="60" fillId="20" borderId="0">
      <alignment vertical="center"/>
    </xf>
    <xf numFmtId="0" fontId="59" fillId="21" borderId="0">
      <alignment vertical="center"/>
    </xf>
    <xf numFmtId="0" fontId="59" fillId="22" borderId="0">
      <alignment vertical="center"/>
    </xf>
    <xf numFmtId="0" fontId="60" fillId="23" borderId="0">
      <alignment vertical="center"/>
    </xf>
    <xf numFmtId="0" fontId="60" fillId="24" borderId="0">
      <alignment vertical="center"/>
    </xf>
    <xf numFmtId="0" fontId="59" fillId="25" borderId="0">
      <alignment vertical="center"/>
    </xf>
    <xf numFmtId="0" fontId="59" fillId="26" borderId="0">
      <alignment vertical="center"/>
    </xf>
    <xf numFmtId="0" fontId="60" fillId="27" borderId="0">
      <alignment vertical="center"/>
    </xf>
    <xf numFmtId="0" fontId="60" fillId="28" borderId="0">
      <alignment vertical="center"/>
    </xf>
    <xf numFmtId="0" fontId="59" fillId="29" borderId="0">
      <alignment vertical="center"/>
    </xf>
    <xf numFmtId="0" fontId="59" fillId="30" borderId="0">
      <alignment vertical="center"/>
    </xf>
    <xf numFmtId="0" fontId="60" fillId="31" borderId="0">
      <alignment vertical="center"/>
    </xf>
    <xf numFmtId="0" fontId="60" fillId="32" borderId="0">
      <alignment vertical="center"/>
    </xf>
    <xf numFmtId="0" fontId="59" fillId="33" borderId="0">
      <alignment vertical="center"/>
    </xf>
    <xf numFmtId="0" fontId="61" fillId="0" borderId="0"/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0" fillId="0" borderId="0"/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6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1" fillId="0" borderId="0"/>
    <xf numFmtId="0" fontId="0" fillId="0" borderId="0">
      <alignment vertical="center"/>
    </xf>
    <xf numFmtId="0" fontId="0" fillId="0" borderId="0">
      <alignment vertical="center"/>
    </xf>
    <xf numFmtId="0" fontId="61" fillId="0" borderId="0"/>
    <xf numFmtId="0" fontId="0" fillId="0" borderId="0">
      <alignment vertical="center"/>
    </xf>
    <xf numFmtId="0" fontId="61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43" fontId="0" fillId="0" borderId="0"/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61" fillId="55" borderId="66">
      <alignment vertical="center"/>
    </xf>
    <xf numFmtId="0" fontId="61" fillId="55" borderId="66">
      <alignment vertical="center"/>
    </xf>
    <xf numFmtId="0" fontId="61" fillId="55" borderId="66">
      <alignment vertical="center"/>
    </xf>
  </cellStyleXfs>
  <cellXfs count="24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top" wrapText="1"/>
    </xf>
    <xf numFmtId="0" fontId="0" fillId="0" borderId="3" xfId="0" applyBorder="1"/>
    <xf numFmtId="0" fontId="0" fillId="0" borderId="4" xfId="0" applyBorder="1"/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0" fillId="0" borderId="7" xfId="0" applyBorder="1"/>
    <xf numFmtId="0" fontId="4" fillId="0" borderId="8" xfId="0" applyFont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0" fillId="0" borderId="13" xfId="0" applyBorder="1"/>
    <xf numFmtId="0" fontId="3" fillId="0" borderId="14" xfId="0" applyFont="1" applyBorder="1" applyAlignment="1">
      <alignment horizontal="left" vertical="top" wrapText="1"/>
    </xf>
    <xf numFmtId="0" fontId="0" fillId="0" borderId="15" xfId="0" applyBorder="1"/>
    <xf numFmtId="0" fontId="0" fillId="0" borderId="16" xfId="0" applyBorder="1"/>
    <xf numFmtId="0" fontId="3" fillId="0" borderId="17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0" fontId="0" fillId="0" borderId="19" xfId="0" applyBorder="1"/>
    <xf numFmtId="0" fontId="4" fillId="0" borderId="1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top"/>
    </xf>
    <xf numFmtId="49" fontId="4" fillId="0" borderId="8" xfId="0" applyNumberFormat="1" applyFont="1" applyBorder="1" applyAlignment="1">
      <alignment horizontal="center" vertical="center" wrapText="1"/>
    </xf>
    <xf numFmtId="0" fontId="3" fillId="0" borderId="17" xfId="0" applyFont="1" applyBorder="1" applyAlignment="1">
      <alignment vertical="top" wrapText="1"/>
    </xf>
    <xf numFmtId="176" fontId="4" fillId="0" borderId="11" xfId="0" applyNumberFormat="1" applyFont="1" applyBorder="1" applyAlignment="1">
      <alignment horizontal="center" vertical="center" wrapText="1"/>
    </xf>
    <xf numFmtId="177" fontId="4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20" xfId="0" applyFont="1" applyBorder="1" applyAlignment="1">
      <alignment horizontal="left" vertical="top" wrapText="1"/>
    </xf>
    <xf numFmtId="0" fontId="3" fillId="0" borderId="21" xfId="0" applyFont="1" applyBorder="1" applyAlignment="1">
      <alignment horizontal="center" vertical="top" wrapText="1"/>
    </xf>
    <xf numFmtId="0" fontId="5" fillId="0" borderId="22" xfId="0" applyFont="1" applyBorder="1" applyAlignment="1">
      <alignment horizontal="left" vertical="center" wrapText="1"/>
    </xf>
    <xf numFmtId="0" fontId="0" fillId="0" borderId="23" xfId="0" applyBorder="1"/>
    <xf numFmtId="0" fontId="6" fillId="0" borderId="24" xfId="0" applyFont="1" applyBorder="1" applyAlignment="1">
      <alignment vertical="top"/>
    </xf>
    <xf numFmtId="0" fontId="6" fillId="0" borderId="25" xfId="0" applyFont="1" applyBorder="1" applyAlignment="1">
      <alignment horizontal="center" vertical="top"/>
    </xf>
    <xf numFmtId="0" fontId="0" fillId="0" borderId="26" xfId="0" applyBorder="1"/>
    <xf numFmtId="0" fontId="6" fillId="0" borderId="9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7" fillId="0" borderId="27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center" vertical="center" wrapText="1"/>
    </xf>
    <xf numFmtId="1" fontId="7" fillId="0" borderId="28" xfId="0" applyNumberFormat="1" applyFont="1" applyBorder="1" applyAlignment="1">
      <alignment horizontal="center" vertical="center" wrapText="1"/>
    </xf>
    <xf numFmtId="2" fontId="7" fillId="0" borderId="15" xfId="0" applyNumberFormat="1" applyFont="1" applyBorder="1" applyAlignment="1">
      <alignment horizontal="center" vertical="center" wrapText="1"/>
    </xf>
    <xf numFmtId="0" fontId="7" fillId="0" borderId="28" xfId="0" applyFont="1" applyBorder="1" applyAlignment="1">
      <alignment horizontal="right" vertical="center" wrapText="1"/>
    </xf>
    <xf numFmtId="0" fontId="7" fillId="0" borderId="30" xfId="0" applyFont="1" applyBorder="1" applyAlignment="1">
      <alignment horizontal="center" vertical="center" wrapText="1"/>
    </xf>
    <xf numFmtId="0" fontId="0" fillId="0" borderId="31" xfId="0" applyBorder="1"/>
    <xf numFmtId="0" fontId="0" fillId="0" borderId="32" xfId="0" applyBorder="1"/>
    <xf numFmtId="1" fontId="0" fillId="0" borderId="32" xfId="0" applyNumberFormat="1" applyBorder="1"/>
    <xf numFmtId="2" fontId="7" fillId="0" borderId="9" xfId="0" applyNumberFormat="1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0" fillId="0" borderId="34" xfId="0" applyBorder="1"/>
    <xf numFmtId="0" fontId="7" fillId="0" borderId="9" xfId="0" applyFont="1" applyBorder="1" applyAlignment="1">
      <alignment vertical="center"/>
    </xf>
    <xf numFmtId="176" fontId="7" fillId="0" borderId="34" xfId="0" applyNumberFormat="1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/>
    </xf>
    <xf numFmtId="0" fontId="0" fillId="0" borderId="29" xfId="0" applyBorder="1"/>
    <xf numFmtId="0" fontId="0" fillId="0" borderId="30" xfId="0" applyBorder="1"/>
    <xf numFmtId="0" fontId="6" fillId="0" borderId="37" xfId="0" applyFont="1" applyBorder="1" applyAlignment="1">
      <alignment horizontal="left" vertical="center"/>
    </xf>
    <xf numFmtId="0" fontId="6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15" xfId="0" applyFont="1" applyBorder="1" applyAlignment="1"/>
    <xf numFmtId="0" fontId="2" fillId="0" borderId="19" xfId="0" applyFont="1" applyBorder="1" applyAlignment="1"/>
    <xf numFmtId="0" fontId="6" fillId="0" borderId="39" xfId="0" applyFont="1" applyBorder="1" applyAlignment="1">
      <alignment horizontal="center"/>
    </xf>
    <xf numFmtId="0" fontId="6" fillId="0" borderId="0" xfId="0" applyFont="1" applyAlignment="1"/>
    <xf numFmtId="0" fontId="6" fillId="0" borderId="40" xfId="0" applyFont="1" applyBorder="1" applyAlignment="1"/>
    <xf numFmtId="0" fontId="6" fillId="0" borderId="41" xfId="0" applyFont="1" applyBorder="1" applyAlignment="1"/>
    <xf numFmtId="0" fontId="2" fillId="0" borderId="23" xfId="0" applyFont="1" applyBorder="1" applyAlignment="1"/>
    <xf numFmtId="0" fontId="6" fillId="0" borderId="42" xfId="0" applyFont="1" applyBorder="1" applyAlignment="1">
      <alignment vertical="center"/>
    </xf>
    <xf numFmtId="0" fontId="6" fillId="0" borderId="1" xfId="0" applyFont="1" applyBorder="1" applyAlignment="1"/>
    <xf numFmtId="0" fontId="6" fillId="0" borderId="43" xfId="0" applyFont="1" applyBorder="1" applyAlignment="1">
      <alignment horizontal="left" vertical="center"/>
    </xf>
    <xf numFmtId="0" fontId="0" fillId="0" borderId="43" xfId="0" applyBorder="1"/>
    <xf numFmtId="0" fontId="6" fillId="0" borderId="44" xfId="0" applyFont="1" applyBorder="1" applyAlignment="1"/>
    <xf numFmtId="0" fontId="2" fillId="0" borderId="45" xfId="0" applyFont="1" applyBorder="1" applyAlignment="1"/>
    <xf numFmtId="0" fontId="8" fillId="0" borderId="0" xfId="0" applyFont="1"/>
    <xf numFmtId="178" fontId="8" fillId="0" borderId="0" xfId="0" applyNumberFormat="1" applyFont="1"/>
    <xf numFmtId="49" fontId="8" fillId="0" borderId="0" xfId="0" applyNumberFormat="1" applyFont="1"/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right" vertical="center"/>
    </xf>
    <xf numFmtId="49" fontId="12" fillId="0" borderId="0" xfId="0" applyNumberFormat="1" applyFont="1" applyAlignment="1">
      <alignment horizontal="left"/>
    </xf>
    <xf numFmtId="0" fontId="13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left"/>
    </xf>
    <xf numFmtId="49" fontId="11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center"/>
    </xf>
    <xf numFmtId="0" fontId="14" fillId="0" borderId="0" xfId="0" applyFont="1"/>
    <xf numFmtId="178" fontId="11" fillId="0" borderId="0" xfId="0" applyNumberFormat="1" applyFont="1"/>
    <xf numFmtId="49" fontId="11" fillId="0" borderId="0" xfId="0" applyNumberFormat="1" applyFont="1"/>
    <xf numFmtId="0" fontId="13" fillId="0" borderId="0" xfId="0" applyFont="1" applyAlignment="1">
      <alignment horizontal="center"/>
    </xf>
    <xf numFmtId="0" fontId="13" fillId="0" borderId="0" xfId="0" applyFont="1"/>
    <xf numFmtId="178" fontId="13" fillId="0" borderId="0" xfId="0" applyNumberFormat="1" applyFont="1"/>
    <xf numFmtId="49" fontId="13" fillId="0" borderId="0" xfId="0" applyNumberFormat="1" applyFont="1"/>
    <xf numFmtId="0" fontId="11" fillId="0" borderId="0" xfId="0" applyFont="1" applyAlignment="1">
      <alignment horizontal="left" vertical="top" wrapText="1"/>
    </xf>
    <xf numFmtId="49" fontId="15" fillId="0" borderId="0" xfId="6" applyNumberFormat="1" applyAlignment="1"/>
    <xf numFmtId="0" fontId="16" fillId="0" borderId="0" xfId="0" applyFont="1" applyAlignment="1">
      <alignment horizontal="left"/>
    </xf>
    <xf numFmtId="0" fontId="1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horizontal="right"/>
    </xf>
    <xf numFmtId="0" fontId="0" fillId="0" borderId="0" xfId="0" applyAlignment="1">
      <alignment horizontal="left"/>
    </xf>
    <xf numFmtId="0" fontId="17" fillId="0" borderId="0" xfId="0" applyFont="1" applyAlignment="1">
      <alignment horizontal="left"/>
    </xf>
    <xf numFmtId="0" fontId="0" fillId="0" borderId="0" xfId="0" applyAlignment="1">
      <alignment horizontal="left" vertical="center" wrapText="1"/>
    </xf>
    <xf numFmtId="49" fontId="11" fillId="0" borderId="0" xfId="0" applyNumberFormat="1" applyFont="1" applyAlignme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178" fontId="16" fillId="0" borderId="0" xfId="0" applyNumberFormat="1" applyFont="1"/>
    <xf numFmtId="49" fontId="16" fillId="0" borderId="0" xfId="0" applyNumberFormat="1" applyFont="1"/>
    <xf numFmtId="0" fontId="7" fillId="0" borderId="0" xfId="0" applyFont="1"/>
    <xf numFmtId="0" fontId="11" fillId="0" borderId="46" xfId="1363" applyFont="1" applyBorder="1" applyAlignment="1">
      <alignment horizontal="center" vertical="center"/>
    </xf>
    <xf numFmtId="0" fontId="0" fillId="0" borderId="47" xfId="0" applyBorder="1"/>
    <xf numFmtId="0" fontId="11" fillId="0" borderId="48" xfId="1363" applyFont="1" applyBorder="1" applyAlignment="1">
      <alignment horizontal="center" vertical="center"/>
    </xf>
    <xf numFmtId="49" fontId="11" fillId="0" borderId="46" xfId="1363" applyNumberFormat="1" applyFont="1" applyBorder="1" applyAlignment="1">
      <alignment horizontal="center" vertical="center"/>
    </xf>
    <xf numFmtId="0" fontId="18" fillId="0" borderId="46" xfId="1363" applyFont="1" applyBorder="1" applyAlignment="1">
      <alignment vertical="center"/>
    </xf>
    <xf numFmtId="0" fontId="11" fillId="0" borderId="47" xfId="1363" applyFont="1" applyBorder="1" applyAlignment="1">
      <alignment horizontal="center" vertical="center"/>
    </xf>
    <xf numFmtId="178" fontId="11" fillId="0" borderId="46" xfId="1363" applyNumberFormat="1" applyFont="1" applyBorder="1"/>
    <xf numFmtId="0" fontId="19" fillId="0" borderId="46" xfId="1363" applyFont="1" applyBorder="1" applyAlignment="1">
      <alignment horizontal="center" vertical="center"/>
    </xf>
    <xf numFmtId="0" fontId="20" fillId="0" borderId="0" xfId="0" applyFont="1"/>
    <xf numFmtId="0" fontId="18" fillId="0" borderId="46" xfId="1363" applyFont="1" applyBorder="1" applyAlignment="1">
      <alignment vertical="center" wrapText="1"/>
    </xf>
    <xf numFmtId="0" fontId="20" fillId="0" borderId="47" xfId="0" applyFont="1" applyBorder="1" applyAlignment="1">
      <alignment horizontal="center" vertical="center" wrapText="1"/>
    </xf>
    <xf numFmtId="0" fontId="21" fillId="0" borderId="48" xfId="0" applyFont="1" applyBorder="1" applyAlignment="1">
      <alignment horizontal="center" vertical="center" wrapText="1"/>
    </xf>
    <xf numFmtId="0" fontId="22" fillId="0" borderId="46" xfId="0" applyFont="1" applyBorder="1" applyAlignment="1">
      <alignment horizontal="center" vertical="center" wrapText="1"/>
    </xf>
    <xf numFmtId="1" fontId="23" fillId="0" borderId="46" xfId="1363" applyNumberFormat="1" applyFont="1" applyBorder="1" applyAlignment="1">
      <alignment horizontal="center" vertical="center" wrapText="1"/>
    </xf>
    <xf numFmtId="4" fontId="24" fillId="0" borderId="46" xfId="0" applyNumberFormat="1" applyFont="1" applyBorder="1" applyAlignment="1">
      <alignment horizontal="center" vertical="center" wrapText="1"/>
    </xf>
    <xf numFmtId="0" fontId="25" fillId="0" borderId="0" xfId="0" applyAlignment="1">
      <alignment vertical="center"/>
    </xf>
    <xf numFmtId="0" fontId="17" fillId="2" borderId="0" xfId="0" applyFont="1" applyFill="1" applyAlignment="1">
      <alignment vertical="center"/>
    </xf>
    <xf numFmtId="176" fontId="8" fillId="0" borderId="0" xfId="0" applyNumberFormat="1" applyFont="1" applyAlignment="1"/>
    <xf numFmtId="0" fontId="8" fillId="0" borderId="0" xfId="0" applyFont="1" applyAlignment="1"/>
    <xf numFmtId="179" fontId="11" fillId="0" borderId="0" xfId="1387" applyNumberFormat="1" applyFont="1" applyAlignment="1">
      <alignment vertical="center"/>
    </xf>
    <xf numFmtId="0" fontId="0" fillId="0" borderId="0" xfId="0" applyAlignment="1"/>
    <xf numFmtId="178" fontId="26" fillId="0" borderId="0" xfId="1742" applyNumberFormat="1" applyFont="1" applyAlignment="1">
      <alignment horizontal="center"/>
    </xf>
    <xf numFmtId="179" fontId="26" fillId="0" borderId="0" xfId="1387" applyNumberFormat="1" applyFont="1" applyAlignment="1">
      <alignment horizontal="center"/>
    </xf>
    <xf numFmtId="179" fontId="11" fillId="0" borderId="0" xfId="1387" applyNumberFormat="1" applyFont="1" applyAlignment="1">
      <alignment horizontal="center" vertical="center"/>
    </xf>
    <xf numFmtId="4" fontId="26" fillId="0" borderId="0" xfId="1387" applyNumberFormat="1" applyFont="1" applyAlignment="1">
      <alignment horizontal="center" vertical="center"/>
    </xf>
    <xf numFmtId="176" fontId="0" fillId="0" borderId="0" xfId="0" applyNumberFormat="1" applyAlignment="1"/>
    <xf numFmtId="176" fontId="27" fillId="0" borderId="0" xfId="0" applyNumberFormat="1" applyFont="1" applyAlignment="1"/>
    <xf numFmtId="0" fontId="27" fillId="0" borderId="0" xfId="0" applyFont="1" applyAlignment="1"/>
    <xf numFmtId="0" fontId="13" fillId="0" borderId="0" xfId="0" applyFont="1" applyAlignment="1">
      <alignment vertical="center"/>
    </xf>
    <xf numFmtId="0" fontId="13" fillId="0" borderId="0" xfId="0" applyFont="1" applyAlignment="1"/>
    <xf numFmtId="178" fontId="13" fillId="0" borderId="0" xfId="0" applyNumberFormat="1" applyFont="1" applyAlignment="1"/>
    <xf numFmtId="176" fontId="13" fillId="0" borderId="0" xfId="0" applyNumberFormat="1" applyFont="1" applyAlignment="1"/>
    <xf numFmtId="0" fontId="28" fillId="0" borderId="0" xfId="0" applyFont="1" applyAlignment="1"/>
    <xf numFmtId="14" fontId="29" fillId="0" borderId="0" xfId="0" applyNumberFormat="1" applyFont="1" applyAlignment="1">
      <alignment horizontal="center"/>
    </xf>
    <xf numFmtId="176" fontId="25" fillId="0" borderId="0" xfId="0" applyNumberFormat="1" applyAlignment="1">
      <alignment vertical="center"/>
    </xf>
    <xf numFmtId="178" fontId="13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29" fillId="0" borderId="0" xfId="0" applyFont="1" applyAlignment="1"/>
    <xf numFmtId="0" fontId="30" fillId="0" borderId="0" xfId="0" applyFont="1" applyAlignment="1"/>
    <xf numFmtId="178" fontId="16" fillId="0" borderId="0" xfId="0" applyNumberFormat="1" applyFont="1" applyAlignment="1"/>
    <xf numFmtId="0" fontId="12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49" fontId="13" fillId="0" borderId="0" xfId="0" applyNumberFormat="1" applyFont="1" applyAlignment="1"/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right" vertical="center"/>
    </xf>
    <xf numFmtId="0" fontId="13" fillId="0" borderId="9" xfId="0" applyFont="1" applyBorder="1" applyAlignment="1">
      <alignment vertical="center"/>
    </xf>
    <xf numFmtId="0" fontId="11" fillId="0" borderId="9" xfId="0" applyFont="1" applyBorder="1" applyAlignment="1"/>
    <xf numFmtId="49" fontId="11" fillId="0" borderId="9" xfId="0" applyNumberFormat="1" applyFont="1" applyBorder="1" applyAlignment="1"/>
    <xf numFmtId="178" fontId="11" fillId="0" borderId="0" xfId="0" applyNumberFormat="1" applyFont="1" applyAlignment="1"/>
    <xf numFmtId="49" fontId="32" fillId="0" borderId="0" xfId="0" applyNumberFormat="1" applyFont="1" applyAlignment="1"/>
    <xf numFmtId="14" fontId="32" fillId="0" borderId="0" xfId="0" applyNumberFormat="1" applyFont="1" applyAlignment="1"/>
    <xf numFmtId="14" fontId="32" fillId="0" borderId="0" xfId="0" applyNumberFormat="1" applyFont="1" applyAlignment="1">
      <alignment horizontal="left"/>
    </xf>
    <xf numFmtId="180" fontId="19" fillId="0" borderId="0" xfId="0" applyNumberFormat="1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9" fillId="0" borderId="0" xfId="0" applyFont="1" applyAlignment="1">
      <alignment horizontal="left" vertical="center"/>
    </xf>
    <xf numFmtId="14" fontId="19" fillId="0" borderId="0" xfId="0" applyNumberFormat="1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0" fillId="0" borderId="46" xfId="0" applyBorder="1" applyAlignment="1">
      <alignment horizontal="center" vertical="center"/>
    </xf>
    <xf numFmtId="0" fontId="0" fillId="0" borderId="46" xfId="0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25" fillId="0" borderId="46" xfId="0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/>
    </xf>
    <xf numFmtId="0" fontId="26" fillId="0" borderId="0" xfId="0" applyFont="1"/>
    <xf numFmtId="178" fontId="26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0" fontId="33" fillId="0" borderId="0" xfId="0" applyFont="1" applyAlignment="1">
      <alignment horizontal="center" vertical="center" wrapText="1"/>
    </xf>
    <xf numFmtId="0" fontId="34" fillId="0" borderId="0" xfId="0" applyFont="1" applyAlignment="1">
      <alignment horizontal="right" vertical="center" wrapText="1"/>
    </xf>
    <xf numFmtId="0" fontId="35" fillId="0" borderId="0" xfId="0" applyFont="1" applyAlignment="1">
      <alignment horizontal="right" vertical="center"/>
    </xf>
    <xf numFmtId="0" fontId="35" fillId="0" borderId="0" xfId="0" applyFont="1"/>
    <xf numFmtId="14" fontId="26" fillId="0" borderId="0" xfId="0" applyNumberFormat="1" applyFont="1" applyAlignment="1">
      <alignment horizontal="center"/>
    </xf>
    <xf numFmtId="0" fontId="13" fillId="0" borderId="0" xfId="1219" applyFont="1" applyAlignment="1">
      <alignment horizontal="left"/>
    </xf>
    <xf numFmtId="0" fontId="13" fillId="0" borderId="0" xfId="1219" applyFont="1"/>
    <xf numFmtId="178" fontId="26" fillId="0" borderId="0" xfId="1219" applyNumberFormat="1" applyFont="1" applyAlignment="1">
      <alignment horizontal="center"/>
    </xf>
    <xf numFmtId="0" fontId="26" fillId="0" borderId="0" xfId="1219" applyFont="1"/>
    <xf numFmtId="0" fontId="26" fillId="0" borderId="0" xfId="1219" applyFont="1" applyAlignment="1">
      <alignment horizontal="center"/>
    </xf>
    <xf numFmtId="14" fontId="26" fillId="0" borderId="0" xfId="1219" applyNumberFormat="1" applyFont="1" applyAlignment="1">
      <alignment horizontal="center"/>
    </xf>
    <xf numFmtId="0" fontId="25" fillId="0" borderId="46" xfId="1385" applyBorder="1" applyAlignment="1">
      <alignment horizontal="center" vertical="center"/>
    </xf>
    <xf numFmtId="0" fontId="0" fillId="0" borderId="46" xfId="1385" applyBorder="1" applyAlignment="1">
      <alignment horizontal="center" vertical="center" wrapText="1"/>
    </xf>
    <xf numFmtId="0" fontId="36" fillId="0" borderId="48" xfId="0" applyFont="1" applyBorder="1" applyAlignment="1">
      <alignment horizontal="center" vertical="center" wrapText="1"/>
    </xf>
    <xf numFmtId="0" fontId="0" fillId="0" borderId="11" xfId="0" applyBorder="1"/>
    <xf numFmtId="0" fontId="0" fillId="0" borderId="46" xfId="1385" applyBorder="1" applyAlignment="1">
      <alignment horizontal="center" vertical="center"/>
    </xf>
    <xf numFmtId="0" fontId="0" fillId="0" borderId="49" xfId="0" applyBorder="1"/>
    <xf numFmtId="0" fontId="18" fillId="0" borderId="46" xfId="1378" applyFont="1" applyBorder="1" applyAlignment="1">
      <alignment vertical="center" wrapText="1"/>
    </xf>
    <xf numFmtId="0" fontId="18" fillId="0" borderId="46" xfId="1378" applyFont="1" applyBorder="1" applyAlignment="1">
      <alignment horizontal="center" vertical="center" wrapText="1"/>
    </xf>
    <xf numFmtId="179" fontId="18" fillId="0" borderId="46" xfId="1378" applyNumberFormat="1" applyFont="1" applyBorder="1" applyAlignment="1">
      <alignment horizontal="center" vertical="center" wrapText="1"/>
    </xf>
    <xf numFmtId="176" fontId="25" fillId="0" borderId="46" xfId="0" applyNumberFormat="1" applyBorder="1" applyAlignment="1">
      <alignment horizontal="center" vertical="center" wrapText="1"/>
    </xf>
    <xf numFmtId="1" fontId="25" fillId="0" borderId="46" xfId="0" applyNumberFormat="1" applyBorder="1" applyAlignment="1">
      <alignment horizontal="center" vertical="center" wrapText="1"/>
    </xf>
    <xf numFmtId="1" fontId="26" fillId="0" borderId="46" xfId="0" applyNumberFormat="1" applyFont="1" applyBorder="1" applyAlignment="1">
      <alignment vertical="center" wrapText="1"/>
    </xf>
    <xf numFmtId="4" fontId="26" fillId="0" borderId="46" xfId="0" applyNumberFormat="1" applyFont="1" applyBorder="1" applyAlignment="1">
      <alignment vertical="center" wrapText="1"/>
    </xf>
    <xf numFmtId="0" fontId="26" fillId="0" borderId="0" xfId="1219" applyFont="1" applyAlignment="1">
      <alignment horizontal="center" vertical="center"/>
    </xf>
    <xf numFmtId="178" fontId="26" fillId="0" borderId="0" xfId="1219" applyNumberFormat="1" applyFont="1" applyAlignment="1">
      <alignment horizontal="center" vertical="center"/>
    </xf>
    <xf numFmtId="179" fontId="26" fillId="0" borderId="0" xfId="1219" applyNumberFormat="1" applyFont="1" applyAlignment="1">
      <alignment horizontal="center" vertical="center"/>
    </xf>
    <xf numFmtId="2" fontId="26" fillId="0" borderId="0" xfId="1219" applyNumberFormat="1" applyFont="1" applyAlignment="1">
      <alignment horizontal="center"/>
    </xf>
    <xf numFmtId="1" fontId="26" fillId="0" borderId="0" xfId="1219" applyNumberFormat="1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4" fontId="17" fillId="0" borderId="0" xfId="0" applyNumberFormat="1" applyFont="1" applyAlignment="1">
      <alignment horizontal="center" vertical="center"/>
    </xf>
    <xf numFmtId="178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0" fontId="35" fillId="0" borderId="0" xfId="0" applyFont="1" applyAlignment="1">
      <alignment horizontal="right"/>
    </xf>
    <xf numFmtId="0" fontId="18" fillId="0" borderId="0" xfId="0" applyFont="1"/>
    <xf numFmtId="0" fontId="25" fillId="0" borderId="46" xfId="1385" applyBorder="1" applyAlignment="1">
      <alignment horizontal="center" vertical="center" wrapText="1"/>
    </xf>
    <xf numFmtId="0" fontId="0" fillId="0" borderId="47" xfId="1385" applyBorder="1" applyAlignment="1">
      <alignment horizontal="center" vertical="center" wrapText="1"/>
    </xf>
    <xf numFmtId="0" fontId="38" fillId="0" borderId="48" xfId="0" applyFont="1" applyBorder="1" applyAlignment="1">
      <alignment horizontal="center" vertical="center" wrapText="1"/>
    </xf>
    <xf numFmtId="0" fontId="25" fillId="0" borderId="48" xfId="1385" applyBorder="1" applyAlignment="1">
      <alignment horizontal="center" vertical="center" wrapText="1"/>
    </xf>
    <xf numFmtId="0" fontId="0" fillId="0" borderId="46" xfId="0" applyBorder="1" applyAlignment="1">
      <alignment horizontal="center"/>
    </xf>
    <xf numFmtId="0" fontId="25" fillId="0" borderId="46" xfId="1385" applyBorder="1" applyAlignment="1">
      <alignment vertical="center"/>
    </xf>
    <xf numFmtId="0" fontId="25" fillId="0" borderId="48" xfId="1385" applyBorder="1" applyAlignment="1">
      <alignment vertical="center"/>
    </xf>
    <xf numFmtId="0" fontId="25" fillId="0" borderId="46" xfId="1385" applyBorder="1" applyAlignment="1">
      <alignment vertical="center" wrapText="1"/>
    </xf>
    <xf numFmtId="0" fontId="25" fillId="0" borderId="47" xfId="1385" applyBorder="1" applyAlignment="1">
      <alignment horizontal="center" vertical="center" wrapText="1"/>
    </xf>
    <xf numFmtId="0" fontId="21" fillId="0" borderId="46" xfId="0" applyFont="1" applyBorder="1" applyAlignment="1">
      <alignment horizontal="center" vertical="center" wrapText="1"/>
    </xf>
    <xf numFmtId="1" fontId="21" fillId="0" borderId="48" xfId="0" applyNumberFormat="1" applyFont="1" applyBorder="1" applyAlignment="1">
      <alignment vertical="center" wrapText="1"/>
    </xf>
    <xf numFmtId="0" fontId="21" fillId="0" borderId="46" xfId="0" applyFont="1" applyBorder="1" applyAlignment="1">
      <alignment vertical="center" wrapText="1"/>
    </xf>
    <xf numFmtId="0" fontId="25" fillId="0" borderId="46" xfId="1343" applyBorder="1" applyAlignment="1">
      <alignment horizontal="center" vertical="center" wrapText="1"/>
    </xf>
    <xf numFmtId="181" fontId="0" fillId="0" borderId="46" xfId="1385" applyNumberFormat="1" applyBorder="1" applyAlignment="1">
      <alignment horizontal="center" vertical="center" wrapText="1"/>
    </xf>
    <xf numFmtId="2" fontId="22" fillId="0" borderId="46" xfId="1374" applyNumberFormat="1" applyFont="1" applyBorder="1" applyAlignment="1">
      <alignment horizontal="center" vertical="center" wrapText="1"/>
    </xf>
    <xf numFmtId="0" fontId="39" fillId="0" borderId="0" xfId="1225" applyFont="1" applyAlignment="1">
      <alignment horizontal="center" vertical="center"/>
    </xf>
    <xf numFmtId="176" fontId="39" fillId="0" borderId="0" xfId="1225" applyNumberFormat="1" applyFont="1" applyAlignment="1">
      <alignment horizontal="center" vertical="center"/>
    </xf>
    <xf numFmtId="49" fontId="24" fillId="0" borderId="46" xfId="1385" applyNumberFormat="1" applyFont="1" applyBorder="1" applyAlignment="1">
      <alignment horizontal="center" vertical="center"/>
    </xf>
    <xf numFmtId="181" fontId="17" fillId="0" borderId="46" xfId="1385" applyNumberFormat="1" applyFont="1" applyBorder="1" applyAlignment="1">
      <alignment horizontal="center" vertical="center"/>
    </xf>
    <xf numFmtId="2" fontId="24" fillId="0" borderId="46" xfId="1385" applyNumberFormat="1" applyFont="1" applyBorder="1" applyAlignment="1">
      <alignment horizontal="center" vertical="center"/>
    </xf>
    <xf numFmtId="0" fontId="17" fillId="0" borderId="46" xfId="0" applyFont="1" applyBorder="1" applyAlignment="1"/>
    <xf numFmtId="0" fontId="40" fillId="0" borderId="0" xfId="1223" applyFont="1" applyAlignment="1">
      <alignment horizontal="center" vertical="center"/>
    </xf>
    <xf numFmtId="0" fontId="41" fillId="0" borderId="0" xfId="0" applyFont="1" applyAlignment="1"/>
    <xf numFmtId="0" fontId="18" fillId="0" borderId="0" xfId="0" applyFont="1" applyAlignment="1"/>
    <xf numFmtId="178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 vertical="center"/>
    </xf>
  </cellXfs>
  <cellStyles count="217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ET_STYLE_NoName_00_" xfId="49"/>
    <cellStyle name="20% - 强调文字颜色 1 2" xfId="50"/>
    <cellStyle name="20% - 强调文字颜色 1 2 2" xfId="51"/>
    <cellStyle name="20% - 强调文字颜色 1 2 2 2" xfId="52"/>
    <cellStyle name="20% - 强调文字颜色 1 2 2 3" xfId="53"/>
    <cellStyle name="20% - 强调文字颜色 1 2 2 4" xfId="54"/>
    <cellStyle name="20% - 强调文字颜色 1 2 3" xfId="55"/>
    <cellStyle name="20% - 强调文字颜色 1 2 3 2" xfId="56"/>
    <cellStyle name="20% - 强调文字颜色 1 2 3 3" xfId="57"/>
    <cellStyle name="20% - 强调文字颜色 1 2 3 4" xfId="58"/>
    <cellStyle name="20% - 强调文字颜色 1 2 4" xfId="59"/>
    <cellStyle name="20% - 强调文字颜色 1 2 4 2" xfId="60"/>
    <cellStyle name="20% - 强调文字颜色 1 2 4 3" xfId="61"/>
    <cellStyle name="20% - 强调文字颜色 1 2 4 4" xfId="62"/>
    <cellStyle name="20% - 强调文字颜色 1 2 5" xfId="63"/>
    <cellStyle name="20% - 强调文字颜色 1 2 6" xfId="64"/>
    <cellStyle name="20% - 强调文字颜色 1 2 7" xfId="65"/>
    <cellStyle name="20% - 强调文字颜色 1 3" xfId="66"/>
    <cellStyle name="20% - 强调文字颜色 1 3 2" xfId="67"/>
    <cellStyle name="20% - 强调文字颜色 1 3 2 2" xfId="68"/>
    <cellStyle name="20% - 强调文字颜色 1 3 2 3" xfId="69"/>
    <cellStyle name="20% - 强调文字颜色 1 3 2 4" xfId="70"/>
    <cellStyle name="20% - 强调文字颜色 1 3 3" xfId="71"/>
    <cellStyle name="20% - 强调文字颜色 1 3 3 2" xfId="72"/>
    <cellStyle name="20% - 强调文字颜色 1 3 3 3" xfId="73"/>
    <cellStyle name="20% - 强调文字颜色 1 3 3 4" xfId="74"/>
    <cellStyle name="20% - 强调文字颜色 1 3 4" xfId="75"/>
    <cellStyle name="20% - 强调文字颜色 1 3 4 2" xfId="76"/>
    <cellStyle name="20% - 强调文字颜色 1 3 4 3" xfId="77"/>
    <cellStyle name="20% - 强调文字颜色 1 3 4 4" xfId="78"/>
    <cellStyle name="20% - 强调文字颜色 1 3 5" xfId="79"/>
    <cellStyle name="20% - 强调文字颜色 1 3 6" xfId="80"/>
    <cellStyle name="20% - 强调文字颜色 1 3 7" xfId="81"/>
    <cellStyle name="20% - 强调文字颜色 1 4" xfId="82"/>
    <cellStyle name="20% - 强调文字颜色 1 4 2" xfId="83"/>
    <cellStyle name="20% - 强调文字颜色 1 4 2 2" xfId="84"/>
    <cellStyle name="20% - 强调文字颜色 1 4 2 3" xfId="85"/>
    <cellStyle name="20% - 强调文字颜色 1 4 2 4" xfId="86"/>
    <cellStyle name="20% - 强调文字颜色 1 4 3" xfId="87"/>
    <cellStyle name="20% - 强调文字颜色 1 4 3 2" xfId="88"/>
    <cellStyle name="20% - 强调文字颜色 1 4 3 3" xfId="89"/>
    <cellStyle name="20% - 强调文字颜色 1 4 3 4" xfId="90"/>
    <cellStyle name="20% - 强调文字颜色 1 4 4" xfId="91"/>
    <cellStyle name="20% - 强调文字颜色 1 4 4 2" xfId="92"/>
    <cellStyle name="20% - 强调文字颜色 1 4 4 3" xfId="93"/>
    <cellStyle name="20% - 强调文字颜色 1 4 4 4" xfId="94"/>
    <cellStyle name="20% - 强调文字颜色 1 4 5" xfId="95"/>
    <cellStyle name="20% - 强调文字颜色 1 4 6" xfId="96"/>
    <cellStyle name="20% - 强调文字颜色 1 4 7" xfId="97"/>
    <cellStyle name="20% - 强调文字颜色 2 2" xfId="98"/>
    <cellStyle name="20% - 强调文字颜色 2 2 2" xfId="99"/>
    <cellStyle name="20% - 强调文字颜色 2 2 2 2" xfId="100"/>
    <cellStyle name="20% - 强调文字颜色 2 2 2 3" xfId="101"/>
    <cellStyle name="20% - 强调文字颜色 2 2 2 4" xfId="102"/>
    <cellStyle name="20% - 强调文字颜色 2 2 3" xfId="103"/>
    <cellStyle name="20% - 强调文字颜色 2 2 3 2" xfId="104"/>
    <cellStyle name="20% - 强调文字颜色 2 2 3 3" xfId="105"/>
    <cellStyle name="20% - 强调文字颜色 2 2 3 4" xfId="106"/>
    <cellStyle name="20% - 强调文字颜色 2 2 4" xfId="107"/>
    <cellStyle name="20% - 强调文字颜色 2 2 4 2" xfId="108"/>
    <cellStyle name="20% - 强调文字颜色 2 2 4 3" xfId="109"/>
    <cellStyle name="20% - 强调文字颜色 2 2 4 4" xfId="110"/>
    <cellStyle name="20% - 强调文字颜色 2 2 5" xfId="111"/>
    <cellStyle name="20% - 强调文字颜色 2 2 6" xfId="112"/>
    <cellStyle name="20% - 强调文字颜色 2 2 7" xfId="113"/>
    <cellStyle name="20% - 强调文字颜色 2 3" xfId="114"/>
    <cellStyle name="20% - 强调文字颜色 2 3 2" xfId="115"/>
    <cellStyle name="20% - 强调文字颜色 2 3 2 2" xfId="116"/>
    <cellStyle name="20% - 强调文字颜色 2 3 2 3" xfId="117"/>
    <cellStyle name="20% - 强调文字颜色 2 3 2 4" xfId="118"/>
    <cellStyle name="20% - 强调文字颜色 2 3 3" xfId="119"/>
    <cellStyle name="20% - 强调文字颜色 2 3 3 2" xfId="120"/>
    <cellStyle name="20% - 强调文字颜色 2 3 3 3" xfId="121"/>
    <cellStyle name="20% - 强调文字颜色 2 3 3 4" xfId="122"/>
    <cellStyle name="20% - 强调文字颜色 2 3 4" xfId="123"/>
    <cellStyle name="20% - 强调文字颜色 2 3 4 2" xfId="124"/>
    <cellStyle name="20% - 强调文字颜色 2 3 4 3" xfId="125"/>
    <cellStyle name="20% - 强调文字颜色 2 3 4 4" xfId="126"/>
    <cellStyle name="20% - 强调文字颜色 2 3 5" xfId="127"/>
    <cellStyle name="20% - 强调文字颜色 2 3 6" xfId="128"/>
    <cellStyle name="20% - 强调文字颜色 2 3 7" xfId="129"/>
    <cellStyle name="20% - 强调文字颜色 2 4" xfId="130"/>
    <cellStyle name="20% - 强调文字颜色 2 4 2" xfId="131"/>
    <cellStyle name="20% - 强调文字颜色 2 4 2 2" xfId="132"/>
    <cellStyle name="20% - 强调文字颜色 2 4 2 3" xfId="133"/>
    <cellStyle name="20% - 强调文字颜色 2 4 2 4" xfId="134"/>
    <cellStyle name="20% - 强调文字颜色 2 4 3" xfId="135"/>
    <cellStyle name="20% - 强调文字颜色 2 4 3 2" xfId="136"/>
    <cellStyle name="20% - 强调文字颜色 2 4 3 3" xfId="137"/>
    <cellStyle name="20% - 强调文字颜色 2 4 3 4" xfId="138"/>
    <cellStyle name="20% - 强调文字颜色 2 4 4" xfId="139"/>
    <cellStyle name="20% - 强调文字颜色 2 4 4 2" xfId="140"/>
    <cellStyle name="20% - 强调文字颜色 2 4 4 3" xfId="141"/>
    <cellStyle name="20% - 强调文字颜色 2 4 4 4" xfId="142"/>
    <cellStyle name="20% - 强调文字颜色 2 4 5" xfId="143"/>
    <cellStyle name="20% - 强调文字颜色 2 4 6" xfId="144"/>
    <cellStyle name="20% - 强调文字颜色 2 4 7" xfId="145"/>
    <cellStyle name="20% - 强调文字颜色 3 2" xfId="146"/>
    <cellStyle name="20% - 强调文字颜色 3 2 2" xfId="147"/>
    <cellStyle name="20% - 强调文字颜色 3 2 2 2" xfId="148"/>
    <cellStyle name="20% - 强调文字颜色 3 2 2 3" xfId="149"/>
    <cellStyle name="20% - 强调文字颜色 3 2 2 4" xfId="150"/>
    <cellStyle name="20% - 强调文字颜色 3 2 3" xfId="151"/>
    <cellStyle name="20% - 强调文字颜色 3 2 3 2" xfId="152"/>
    <cellStyle name="20% - 强调文字颜色 3 2 3 3" xfId="153"/>
    <cellStyle name="20% - 强调文字颜色 3 2 3 4" xfId="154"/>
    <cellStyle name="20% - 强调文字颜色 3 2 4" xfId="155"/>
    <cellStyle name="20% - 强调文字颜色 3 2 4 2" xfId="156"/>
    <cellStyle name="20% - 强调文字颜色 3 2 4 3" xfId="157"/>
    <cellStyle name="20% - 强调文字颜色 3 2 4 4" xfId="158"/>
    <cellStyle name="20% - 强调文字颜色 3 2 5" xfId="159"/>
    <cellStyle name="20% - 强调文字颜色 3 2 6" xfId="160"/>
    <cellStyle name="20% - 强调文字颜色 3 2 7" xfId="161"/>
    <cellStyle name="20% - 强调文字颜色 3 3" xfId="162"/>
    <cellStyle name="20% - 强调文字颜色 3 3 2" xfId="163"/>
    <cellStyle name="20% - 强调文字颜色 3 3 2 2" xfId="164"/>
    <cellStyle name="20% - 强调文字颜色 3 3 2 3" xfId="165"/>
    <cellStyle name="20% - 强调文字颜色 3 3 2 4" xfId="166"/>
    <cellStyle name="20% - 强调文字颜色 3 3 3" xfId="167"/>
    <cellStyle name="20% - 强调文字颜色 3 3 3 2" xfId="168"/>
    <cellStyle name="20% - 强调文字颜色 3 3 3 3" xfId="169"/>
    <cellStyle name="20% - 强调文字颜色 3 3 3 4" xfId="170"/>
    <cellStyle name="20% - 强调文字颜色 3 3 4" xfId="171"/>
    <cellStyle name="20% - 强调文字颜色 3 3 4 2" xfId="172"/>
    <cellStyle name="20% - 强调文字颜色 3 3 4 3" xfId="173"/>
    <cellStyle name="20% - 强调文字颜色 3 3 4 4" xfId="174"/>
    <cellStyle name="20% - 强调文字颜色 3 3 5" xfId="175"/>
    <cellStyle name="20% - 强调文字颜色 3 3 6" xfId="176"/>
    <cellStyle name="20% - 强调文字颜色 3 3 7" xfId="177"/>
    <cellStyle name="20% - 强调文字颜色 3 4" xfId="178"/>
    <cellStyle name="20% - 强调文字颜色 3 4 2" xfId="179"/>
    <cellStyle name="20% - 强调文字颜色 3 4 2 2" xfId="180"/>
    <cellStyle name="20% - 强调文字颜色 3 4 2 3" xfId="181"/>
    <cellStyle name="20% - 强调文字颜色 3 4 2 4" xfId="182"/>
    <cellStyle name="20% - 强调文字颜色 3 4 3" xfId="183"/>
    <cellStyle name="20% - 强调文字颜色 3 4 3 2" xfId="184"/>
    <cellStyle name="20% - 强调文字颜色 3 4 3 3" xfId="185"/>
    <cellStyle name="20% - 强调文字颜色 3 4 3 4" xfId="186"/>
    <cellStyle name="20% - 强调文字颜色 3 4 4" xfId="187"/>
    <cellStyle name="20% - 强调文字颜色 3 4 4 2" xfId="188"/>
    <cellStyle name="20% - 强调文字颜色 3 4 4 3" xfId="189"/>
    <cellStyle name="20% - 强调文字颜色 3 4 4 4" xfId="190"/>
    <cellStyle name="20% - 强调文字颜色 3 4 5" xfId="191"/>
    <cellStyle name="20% - 强调文字颜色 3 4 6" xfId="192"/>
    <cellStyle name="20% - 强调文字颜色 3 4 7" xfId="193"/>
    <cellStyle name="20% - 强调文字颜色 4 2" xfId="194"/>
    <cellStyle name="20% - 强调文字颜色 4 2 2" xfId="195"/>
    <cellStyle name="20% - 强调文字颜色 4 2 2 2" xfId="196"/>
    <cellStyle name="20% - 强调文字颜色 4 2 2 3" xfId="197"/>
    <cellStyle name="20% - 强调文字颜色 4 2 2 4" xfId="198"/>
    <cellStyle name="20% - 强调文字颜色 4 2 3" xfId="199"/>
    <cellStyle name="20% - 强调文字颜色 4 2 3 2" xfId="200"/>
    <cellStyle name="20% - 强调文字颜色 4 2 3 3" xfId="201"/>
    <cellStyle name="20% - 强调文字颜色 4 2 3 4" xfId="202"/>
    <cellStyle name="20% - 强调文字颜色 4 2 4" xfId="203"/>
    <cellStyle name="20% - 强调文字颜色 4 2 4 2" xfId="204"/>
    <cellStyle name="20% - 强调文字颜色 4 2 4 3" xfId="205"/>
    <cellStyle name="20% - 强调文字颜色 4 2 4 4" xfId="206"/>
    <cellStyle name="20% - 强调文字颜色 4 2 5" xfId="207"/>
    <cellStyle name="20% - 强调文字颜色 4 2 6" xfId="208"/>
    <cellStyle name="20% - 强调文字颜色 4 2 7" xfId="209"/>
    <cellStyle name="20% - 强调文字颜色 4 3" xfId="210"/>
    <cellStyle name="20% - 强调文字颜色 4 3 2" xfId="211"/>
    <cellStyle name="20% - 强调文字颜色 4 3 2 2" xfId="212"/>
    <cellStyle name="20% - 强调文字颜色 4 3 2 3" xfId="213"/>
    <cellStyle name="20% - 强调文字颜色 4 3 2 4" xfId="214"/>
    <cellStyle name="20% - 强调文字颜色 4 3 3" xfId="215"/>
    <cellStyle name="20% - 强调文字颜色 4 3 3 2" xfId="216"/>
    <cellStyle name="20% - 强调文字颜色 4 3 3 3" xfId="217"/>
    <cellStyle name="20% - 强调文字颜色 4 3 3 4" xfId="218"/>
    <cellStyle name="20% - 强调文字颜色 4 3 4" xfId="219"/>
    <cellStyle name="20% - 强调文字颜色 4 3 4 2" xfId="220"/>
    <cellStyle name="20% - 强调文字颜色 4 3 4 3" xfId="221"/>
    <cellStyle name="20% - 强调文字颜色 4 3 4 4" xfId="222"/>
    <cellStyle name="20% - 强调文字颜色 4 3 5" xfId="223"/>
    <cellStyle name="20% - 强调文字颜色 4 3 6" xfId="224"/>
    <cellStyle name="20% - 强调文字颜色 4 3 7" xfId="225"/>
    <cellStyle name="20% - 强调文字颜色 4 4" xfId="226"/>
    <cellStyle name="20% - 强调文字颜色 4 4 2" xfId="227"/>
    <cellStyle name="20% - 强调文字颜色 4 4 2 2" xfId="228"/>
    <cellStyle name="20% - 强调文字颜色 4 4 2 3" xfId="229"/>
    <cellStyle name="20% - 强调文字颜色 4 4 2 4" xfId="230"/>
    <cellStyle name="20% - 强调文字颜色 4 4 3" xfId="231"/>
    <cellStyle name="20% - 强调文字颜色 4 4 3 2" xfId="232"/>
    <cellStyle name="20% - 强调文字颜色 4 4 3 3" xfId="233"/>
    <cellStyle name="20% - 强调文字颜色 4 4 3 4" xfId="234"/>
    <cellStyle name="20% - 强调文字颜色 4 4 4" xfId="235"/>
    <cellStyle name="20% - 强调文字颜色 4 4 4 2" xfId="236"/>
    <cellStyle name="20% - 强调文字颜色 4 4 4 3" xfId="237"/>
    <cellStyle name="20% - 强调文字颜色 4 4 4 4" xfId="238"/>
    <cellStyle name="20% - 强调文字颜色 4 4 5" xfId="239"/>
    <cellStyle name="20% - 强调文字颜色 4 4 6" xfId="240"/>
    <cellStyle name="20% - 强调文字颜色 4 4 7" xfId="241"/>
    <cellStyle name="20% - 强调文字颜色 5 2" xfId="242"/>
    <cellStyle name="20% - 强调文字颜色 5 2 2" xfId="243"/>
    <cellStyle name="20% - 强调文字颜色 5 2 2 2" xfId="244"/>
    <cellStyle name="20% - 强调文字颜色 5 2 2 3" xfId="245"/>
    <cellStyle name="20% - 强调文字颜色 5 2 2 4" xfId="246"/>
    <cellStyle name="20% - 强调文字颜色 5 2 3" xfId="247"/>
    <cellStyle name="20% - 强调文字颜色 5 2 3 2" xfId="248"/>
    <cellStyle name="20% - 强调文字颜色 5 2 3 3" xfId="249"/>
    <cellStyle name="20% - 强调文字颜色 5 2 3 4" xfId="250"/>
    <cellStyle name="20% - 强调文字颜色 5 2 4" xfId="251"/>
    <cellStyle name="20% - 强调文字颜色 5 2 4 2" xfId="252"/>
    <cellStyle name="20% - 强调文字颜色 5 2 4 3" xfId="253"/>
    <cellStyle name="20% - 强调文字颜色 5 2 4 4" xfId="254"/>
    <cellStyle name="20% - 强调文字颜色 5 2 5" xfId="255"/>
    <cellStyle name="20% - 强调文字颜色 5 2 6" xfId="256"/>
    <cellStyle name="20% - 强调文字颜色 5 2 7" xfId="257"/>
    <cellStyle name="20% - 强调文字颜色 5 3" xfId="258"/>
    <cellStyle name="20% - 强调文字颜色 5 3 2" xfId="259"/>
    <cellStyle name="20% - 强调文字颜色 5 3 2 2" xfId="260"/>
    <cellStyle name="20% - 强调文字颜色 5 3 2 3" xfId="261"/>
    <cellStyle name="20% - 强调文字颜色 5 3 2 4" xfId="262"/>
    <cellStyle name="20% - 强调文字颜色 5 3 3" xfId="263"/>
    <cellStyle name="20% - 强调文字颜色 5 3 3 2" xfId="264"/>
    <cellStyle name="20% - 强调文字颜色 5 3 3 3" xfId="265"/>
    <cellStyle name="20% - 强调文字颜色 5 3 3 4" xfId="266"/>
    <cellStyle name="20% - 强调文字颜色 5 3 4" xfId="267"/>
    <cellStyle name="20% - 强调文字颜色 5 3 4 2" xfId="268"/>
    <cellStyle name="20% - 强调文字颜色 5 3 4 3" xfId="269"/>
    <cellStyle name="20% - 强调文字颜色 5 3 4 4" xfId="270"/>
    <cellStyle name="20% - 强调文字颜色 5 3 5" xfId="271"/>
    <cellStyle name="20% - 强调文字颜色 5 3 6" xfId="272"/>
    <cellStyle name="20% - 强调文字颜色 5 3 7" xfId="273"/>
    <cellStyle name="20% - 强调文字颜色 5 4" xfId="274"/>
    <cellStyle name="20% - 强调文字颜色 5 4 2" xfId="275"/>
    <cellStyle name="20% - 强调文字颜色 5 4 2 2" xfId="276"/>
    <cellStyle name="20% - 强调文字颜色 5 4 2 3" xfId="277"/>
    <cellStyle name="20% - 强调文字颜色 5 4 2 4" xfId="278"/>
    <cellStyle name="20% - 强调文字颜色 5 4 3" xfId="279"/>
    <cellStyle name="20% - 强调文字颜色 5 4 3 2" xfId="280"/>
    <cellStyle name="20% - 强调文字颜色 5 4 3 3" xfId="281"/>
    <cellStyle name="20% - 强调文字颜色 5 4 3 4" xfId="282"/>
    <cellStyle name="20% - 强调文字颜色 5 4 4" xfId="283"/>
    <cellStyle name="20% - 强调文字颜色 5 4 4 2" xfId="284"/>
    <cellStyle name="20% - 强调文字颜色 5 4 4 3" xfId="285"/>
    <cellStyle name="20% - 强调文字颜色 5 4 4 4" xfId="286"/>
    <cellStyle name="20% - 强调文字颜色 5 4 5" xfId="287"/>
    <cellStyle name="20% - 强调文字颜色 5 4 6" xfId="288"/>
    <cellStyle name="20% - 强调文字颜色 5 4 7" xfId="289"/>
    <cellStyle name="20% - 强调文字颜色 6 2" xfId="290"/>
    <cellStyle name="20% - 强调文字颜色 6 2 2" xfId="291"/>
    <cellStyle name="20% - 强调文字颜色 6 2 2 2" xfId="292"/>
    <cellStyle name="20% - 强调文字颜色 6 2 2 3" xfId="293"/>
    <cellStyle name="20% - 强调文字颜色 6 2 2 4" xfId="294"/>
    <cellStyle name="20% - 强调文字颜色 6 2 3" xfId="295"/>
    <cellStyle name="20% - 强调文字颜色 6 2 3 2" xfId="296"/>
    <cellStyle name="20% - 强调文字颜色 6 2 3 3" xfId="297"/>
    <cellStyle name="20% - 强调文字颜色 6 2 3 4" xfId="298"/>
    <cellStyle name="20% - 强调文字颜色 6 2 4" xfId="299"/>
    <cellStyle name="20% - 强调文字颜色 6 2 4 2" xfId="300"/>
    <cellStyle name="20% - 强调文字颜色 6 2 4 3" xfId="301"/>
    <cellStyle name="20% - 强调文字颜色 6 2 4 4" xfId="302"/>
    <cellStyle name="20% - 强调文字颜色 6 2 5" xfId="303"/>
    <cellStyle name="20% - 强调文字颜色 6 2 6" xfId="304"/>
    <cellStyle name="20% - 强调文字颜色 6 2 7" xfId="305"/>
    <cellStyle name="20% - 强调文字颜色 6 3" xfId="306"/>
    <cellStyle name="20% - 强调文字颜色 6 3 2" xfId="307"/>
    <cellStyle name="20% - 强调文字颜色 6 3 2 2" xfId="308"/>
    <cellStyle name="20% - 强调文字颜色 6 3 2 3" xfId="309"/>
    <cellStyle name="20% - 强调文字颜色 6 3 2 4" xfId="310"/>
    <cellStyle name="20% - 强调文字颜色 6 3 3" xfId="311"/>
    <cellStyle name="20% - 强调文字颜色 6 3 3 2" xfId="312"/>
    <cellStyle name="20% - 强调文字颜色 6 3 3 3" xfId="313"/>
    <cellStyle name="20% - 强调文字颜色 6 3 3 4" xfId="314"/>
    <cellStyle name="20% - 强调文字颜色 6 3 4" xfId="315"/>
    <cellStyle name="20% - 强调文字颜色 6 3 4 2" xfId="316"/>
    <cellStyle name="20% - 强调文字颜色 6 3 4 3" xfId="317"/>
    <cellStyle name="20% - 强调文字颜色 6 3 4 4" xfId="318"/>
    <cellStyle name="20% - 强调文字颜色 6 3 5" xfId="319"/>
    <cellStyle name="20% - 强调文字颜色 6 3 6" xfId="320"/>
    <cellStyle name="20% - 强调文字颜色 6 3 7" xfId="321"/>
    <cellStyle name="20% - 强调文字颜色 6 4" xfId="322"/>
    <cellStyle name="20% - 强调文字颜色 6 4 2" xfId="323"/>
    <cellStyle name="20% - 强调文字颜色 6 4 2 2" xfId="324"/>
    <cellStyle name="20% - 强调文字颜色 6 4 2 3" xfId="325"/>
    <cellStyle name="20% - 强调文字颜色 6 4 2 4" xfId="326"/>
    <cellStyle name="20% - 强调文字颜色 6 4 3" xfId="327"/>
    <cellStyle name="20% - 强调文字颜色 6 4 3 2" xfId="328"/>
    <cellStyle name="20% - 强调文字颜色 6 4 3 3" xfId="329"/>
    <cellStyle name="20% - 强调文字颜色 6 4 3 4" xfId="330"/>
    <cellStyle name="20% - 强调文字颜色 6 4 4" xfId="331"/>
    <cellStyle name="20% - 强调文字颜色 6 4 4 2" xfId="332"/>
    <cellStyle name="20% - 强调文字颜色 6 4 4 3" xfId="333"/>
    <cellStyle name="20% - 强调文字颜色 6 4 4 4" xfId="334"/>
    <cellStyle name="20% - 强调文字颜色 6 4 5" xfId="335"/>
    <cellStyle name="20% - 强调文字颜色 6 4 6" xfId="336"/>
    <cellStyle name="20% - 强调文字颜色 6 4 7" xfId="337"/>
    <cellStyle name="40% - 强调文字颜色 1 2" xfId="338"/>
    <cellStyle name="40% - 强调文字颜色 1 2 2" xfId="339"/>
    <cellStyle name="40% - 强调文字颜色 1 2 2 2" xfId="340"/>
    <cellStyle name="40% - 强调文字颜色 1 2 2 3" xfId="341"/>
    <cellStyle name="40% - 强调文字颜色 1 2 2 4" xfId="342"/>
    <cellStyle name="40% - 强调文字颜色 1 2 3" xfId="343"/>
    <cellStyle name="40% - 强调文字颜色 1 2 3 2" xfId="344"/>
    <cellStyle name="40% - 强调文字颜色 1 2 3 3" xfId="345"/>
    <cellStyle name="40% - 强调文字颜色 1 2 3 4" xfId="346"/>
    <cellStyle name="40% - 强调文字颜色 1 2 4" xfId="347"/>
    <cellStyle name="40% - 强调文字颜色 1 2 4 2" xfId="348"/>
    <cellStyle name="40% - 强调文字颜色 1 2 4 3" xfId="349"/>
    <cellStyle name="40% - 强调文字颜色 1 2 4 4" xfId="350"/>
    <cellStyle name="40% - 强调文字颜色 1 2 5" xfId="351"/>
    <cellStyle name="40% - 强调文字颜色 1 2 6" xfId="352"/>
    <cellStyle name="40% - 强调文字颜色 1 2 7" xfId="353"/>
    <cellStyle name="40% - 强调文字颜色 1 3" xfId="354"/>
    <cellStyle name="40% - 强调文字颜色 1 3 2" xfId="355"/>
    <cellStyle name="40% - 强调文字颜色 1 3 2 2" xfId="356"/>
    <cellStyle name="40% - 强调文字颜色 1 3 2 3" xfId="357"/>
    <cellStyle name="40% - 强调文字颜色 1 3 2 4" xfId="358"/>
    <cellStyle name="40% - 强调文字颜色 1 3 3" xfId="359"/>
    <cellStyle name="40% - 强调文字颜色 1 3 3 2" xfId="360"/>
    <cellStyle name="40% - 强调文字颜色 1 3 3 3" xfId="361"/>
    <cellStyle name="40% - 强调文字颜色 1 3 3 4" xfId="362"/>
    <cellStyle name="40% - 强调文字颜色 1 3 4" xfId="363"/>
    <cellStyle name="40% - 强调文字颜色 1 3 4 2" xfId="364"/>
    <cellStyle name="40% - 强调文字颜色 1 3 4 3" xfId="365"/>
    <cellStyle name="40% - 强调文字颜色 1 3 4 4" xfId="366"/>
    <cellStyle name="40% - 强调文字颜色 1 3 5" xfId="367"/>
    <cellStyle name="40% - 强调文字颜色 1 3 6" xfId="368"/>
    <cellStyle name="40% - 强调文字颜色 1 3 7" xfId="369"/>
    <cellStyle name="40% - 强调文字颜色 1 4" xfId="370"/>
    <cellStyle name="40% - 强调文字颜色 1 4 2" xfId="371"/>
    <cellStyle name="40% - 强调文字颜色 1 4 2 2" xfId="372"/>
    <cellStyle name="40% - 强调文字颜色 1 4 2 3" xfId="373"/>
    <cellStyle name="40% - 强调文字颜色 1 4 2 4" xfId="374"/>
    <cellStyle name="40% - 强调文字颜色 1 4 3" xfId="375"/>
    <cellStyle name="40% - 强调文字颜色 1 4 3 2" xfId="376"/>
    <cellStyle name="40% - 强调文字颜色 1 4 3 3" xfId="377"/>
    <cellStyle name="40% - 强调文字颜色 1 4 3 4" xfId="378"/>
    <cellStyle name="40% - 强调文字颜色 1 4 4" xfId="379"/>
    <cellStyle name="40% - 强调文字颜色 1 4 4 2" xfId="380"/>
    <cellStyle name="40% - 强调文字颜色 1 4 4 3" xfId="381"/>
    <cellStyle name="40% - 强调文字颜色 1 4 4 4" xfId="382"/>
    <cellStyle name="40% - 强调文字颜色 1 4 5" xfId="383"/>
    <cellStyle name="40% - 强调文字颜色 1 4 6" xfId="384"/>
    <cellStyle name="40% - 强调文字颜色 1 4 7" xfId="385"/>
    <cellStyle name="40% - 强调文字颜色 2 2" xfId="386"/>
    <cellStyle name="40% - 强调文字颜色 2 2 2" xfId="387"/>
    <cellStyle name="40% - 强调文字颜色 2 2 2 2" xfId="388"/>
    <cellStyle name="40% - 强调文字颜色 2 2 2 3" xfId="389"/>
    <cellStyle name="40% - 强调文字颜色 2 2 2 4" xfId="390"/>
    <cellStyle name="40% - 强调文字颜色 2 2 3" xfId="391"/>
    <cellStyle name="40% - 强调文字颜色 2 2 3 2" xfId="392"/>
    <cellStyle name="40% - 强调文字颜色 2 2 3 3" xfId="393"/>
    <cellStyle name="40% - 强调文字颜色 2 2 3 4" xfId="394"/>
    <cellStyle name="40% - 强调文字颜色 2 2 4" xfId="395"/>
    <cellStyle name="40% - 强调文字颜色 2 2 4 2" xfId="396"/>
    <cellStyle name="40% - 强调文字颜色 2 2 4 3" xfId="397"/>
    <cellStyle name="40% - 强调文字颜色 2 2 4 4" xfId="398"/>
    <cellStyle name="40% - 强调文字颜色 2 2 5" xfId="399"/>
    <cellStyle name="40% - 强调文字颜色 2 2 6" xfId="400"/>
    <cellStyle name="40% - 强调文字颜色 2 2 7" xfId="401"/>
    <cellStyle name="40% - 强调文字颜色 2 3" xfId="402"/>
    <cellStyle name="40% - 强调文字颜色 2 3 2" xfId="403"/>
    <cellStyle name="40% - 强调文字颜色 2 3 2 2" xfId="404"/>
    <cellStyle name="40% - 强调文字颜色 2 3 2 3" xfId="405"/>
    <cellStyle name="40% - 强调文字颜色 2 3 2 4" xfId="406"/>
    <cellStyle name="40% - 强调文字颜色 2 3 3" xfId="407"/>
    <cellStyle name="40% - 强调文字颜色 2 3 3 2" xfId="408"/>
    <cellStyle name="40% - 强调文字颜色 2 3 3 3" xfId="409"/>
    <cellStyle name="40% - 强调文字颜色 2 3 3 4" xfId="410"/>
    <cellStyle name="40% - 强调文字颜色 2 3 4" xfId="411"/>
    <cellStyle name="40% - 强调文字颜色 2 3 4 2" xfId="412"/>
    <cellStyle name="40% - 强调文字颜色 2 3 4 3" xfId="413"/>
    <cellStyle name="40% - 强调文字颜色 2 3 4 4" xfId="414"/>
    <cellStyle name="40% - 强调文字颜色 2 3 5" xfId="415"/>
    <cellStyle name="40% - 强调文字颜色 2 3 6" xfId="416"/>
    <cellStyle name="40% - 强调文字颜色 2 3 7" xfId="417"/>
    <cellStyle name="40% - 强调文字颜色 2 4" xfId="418"/>
    <cellStyle name="40% - 强调文字颜色 2 4 2" xfId="419"/>
    <cellStyle name="40% - 强调文字颜色 2 4 2 2" xfId="420"/>
    <cellStyle name="40% - 强调文字颜色 2 4 2 3" xfId="421"/>
    <cellStyle name="40% - 强调文字颜色 2 4 2 4" xfId="422"/>
    <cellStyle name="40% - 强调文字颜色 2 4 3" xfId="423"/>
    <cellStyle name="40% - 强调文字颜色 2 4 3 2" xfId="424"/>
    <cellStyle name="40% - 强调文字颜色 2 4 3 3" xfId="425"/>
    <cellStyle name="40% - 强调文字颜色 2 4 3 4" xfId="426"/>
    <cellStyle name="40% - 强调文字颜色 2 4 4" xfId="427"/>
    <cellStyle name="40% - 强调文字颜色 2 4 4 2" xfId="428"/>
    <cellStyle name="40% - 强调文字颜色 2 4 4 3" xfId="429"/>
    <cellStyle name="40% - 强调文字颜色 2 4 4 4" xfId="430"/>
    <cellStyle name="40% - 强调文字颜色 2 4 5" xfId="431"/>
    <cellStyle name="40% - 强调文字颜色 2 4 6" xfId="432"/>
    <cellStyle name="40% - 强调文字颜色 2 4 7" xfId="433"/>
    <cellStyle name="40% - 强调文字颜色 3 2" xfId="434"/>
    <cellStyle name="40% - 强调文字颜色 3 2 2" xfId="435"/>
    <cellStyle name="40% - 强调文字颜色 3 2 2 2" xfId="436"/>
    <cellStyle name="40% - 强调文字颜色 3 2 2 3" xfId="437"/>
    <cellStyle name="40% - 强调文字颜色 3 2 2 4" xfId="438"/>
    <cellStyle name="40% - 强调文字颜色 3 2 3" xfId="439"/>
    <cellStyle name="40% - 强调文字颜色 3 2 3 2" xfId="440"/>
    <cellStyle name="40% - 强调文字颜色 3 2 3 3" xfId="441"/>
    <cellStyle name="40% - 强调文字颜色 3 2 3 4" xfId="442"/>
    <cellStyle name="40% - 强调文字颜色 3 2 4" xfId="443"/>
    <cellStyle name="40% - 强调文字颜色 3 2 4 2" xfId="444"/>
    <cellStyle name="40% - 强调文字颜色 3 2 4 3" xfId="445"/>
    <cellStyle name="40% - 强调文字颜色 3 2 4 4" xfId="446"/>
    <cellStyle name="40% - 强调文字颜色 3 2 5" xfId="447"/>
    <cellStyle name="40% - 强调文字颜色 3 2 6" xfId="448"/>
    <cellStyle name="40% - 强调文字颜色 3 2 7" xfId="449"/>
    <cellStyle name="40% - 强调文字颜色 3 3" xfId="450"/>
    <cellStyle name="40% - 强调文字颜色 3 3 2" xfId="451"/>
    <cellStyle name="40% - 强调文字颜色 3 3 2 2" xfId="452"/>
    <cellStyle name="40% - 强调文字颜色 3 3 2 3" xfId="453"/>
    <cellStyle name="40% - 强调文字颜色 3 3 2 4" xfId="454"/>
    <cellStyle name="40% - 强调文字颜色 3 3 3" xfId="455"/>
    <cellStyle name="40% - 强调文字颜色 3 3 3 2" xfId="456"/>
    <cellStyle name="40% - 强调文字颜色 3 3 3 3" xfId="457"/>
    <cellStyle name="40% - 强调文字颜色 3 3 3 4" xfId="458"/>
    <cellStyle name="40% - 强调文字颜色 3 3 4" xfId="459"/>
    <cellStyle name="40% - 强调文字颜色 3 3 4 2" xfId="460"/>
    <cellStyle name="40% - 强调文字颜色 3 3 4 3" xfId="461"/>
    <cellStyle name="40% - 强调文字颜色 3 3 4 4" xfId="462"/>
    <cellStyle name="40% - 强调文字颜色 3 3 5" xfId="463"/>
    <cellStyle name="40% - 强调文字颜色 3 3 6" xfId="464"/>
    <cellStyle name="40% - 强调文字颜色 3 3 7" xfId="465"/>
    <cellStyle name="40% - 强调文字颜色 3 4" xfId="466"/>
    <cellStyle name="40% - 强调文字颜色 3 4 2" xfId="467"/>
    <cellStyle name="40% - 强调文字颜色 3 4 2 2" xfId="468"/>
    <cellStyle name="40% - 强调文字颜色 3 4 2 3" xfId="469"/>
    <cellStyle name="40% - 强调文字颜色 3 4 2 4" xfId="470"/>
    <cellStyle name="40% - 强调文字颜色 3 4 3" xfId="471"/>
    <cellStyle name="40% - 强调文字颜色 3 4 3 2" xfId="472"/>
    <cellStyle name="40% - 强调文字颜色 3 4 3 3" xfId="473"/>
    <cellStyle name="40% - 强调文字颜色 3 4 3 4" xfId="474"/>
    <cellStyle name="40% - 强调文字颜色 3 4 4" xfId="475"/>
    <cellStyle name="40% - 强调文字颜色 3 4 4 2" xfId="476"/>
    <cellStyle name="40% - 强调文字颜色 3 4 4 3" xfId="477"/>
    <cellStyle name="40% - 强调文字颜色 3 4 4 4" xfId="478"/>
    <cellStyle name="40% - 强调文字颜色 3 4 5" xfId="479"/>
    <cellStyle name="40% - 强调文字颜色 3 4 6" xfId="480"/>
    <cellStyle name="40% - 强调文字颜色 3 4 7" xfId="481"/>
    <cellStyle name="40% - 强调文字颜色 4 2" xfId="482"/>
    <cellStyle name="40% - 强调文字颜色 4 2 2" xfId="483"/>
    <cellStyle name="40% - 强调文字颜色 4 2 2 2" xfId="484"/>
    <cellStyle name="40% - 强调文字颜色 4 2 2 3" xfId="485"/>
    <cellStyle name="40% - 强调文字颜色 4 2 2 4" xfId="486"/>
    <cellStyle name="40% - 强调文字颜色 4 2 3" xfId="487"/>
    <cellStyle name="40% - 强调文字颜色 4 2 3 2" xfId="488"/>
    <cellStyle name="40% - 强调文字颜色 4 2 3 3" xfId="489"/>
    <cellStyle name="40% - 强调文字颜色 4 2 3 4" xfId="490"/>
    <cellStyle name="40% - 强调文字颜色 4 2 4" xfId="491"/>
    <cellStyle name="40% - 强调文字颜色 4 2 4 2" xfId="492"/>
    <cellStyle name="40% - 强调文字颜色 4 2 4 3" xfId="493"/>
    <cellStyle name="40% - 强调文字颜色 4 2 4 4" xfId="494"/>
    <cellStyle name="40% - 强调文字颜色 4 2 5" xfId="495"/>
    <cellStyle name="40% - 强调文字颜色 4 2 6" xfId="496"/>
    <cellStyle name="40% - 强调文字颜色 4 2 7" xfId="497"/>
    <cellStyle name="40% - 强调文字颜色 4 3" xfId="498"/>
    <cellStyle name="40% - 强调文字颜色 4 3 2" xfId="499"/>
    <cellStyle name="40% - 强调文字颜色 4 3 2 2" xfId="500"/>
    <cellStyle name="40% - 强调文字颜色 4 3 2 3" xfId="501"/>
    <cellStyle name="40% - 强调文字颜色 4 3 2 4" xfId="502"/>
    <cellStyle name="40% - 强调文字颜色 4 3 3" xfId="503"/>
    <cellStyle name="40% - 强调文字颜色 4 3 3 2" xfId="504"/>
    <cellStyle name="40% - 强调文字颜色 4 3 3 3" xfId="505"/>
    <cellStyle name="40% - 强调文字颜色 4 3 3 4" xfId="506"/>
    <cellStyle name="40% - 强调文字颜色 4 3 4" xfId="507"/>
    <cellStyle name="40% - 强调文字颜色 4 3 4 2" xfId="508"/>
    <cellStyle name="40% - 强调文字颜色 4 3 4 3" xfId="509"/>
    <cellStyle name="40% - 强调文字颜色 4 3 4 4" xfId="510"/>
    <cellStyle name="40% - 强调文字颜色 4 3 5" xfId="511"/>
    <cellStyle name="40% - 强调文字颜色 4 3 6" xfId="512"/>
    <cellStyle name="40% - 强调文字颜色 4 3 7" xfId="513"/>
    <cellStyle name="40% - 强调文字颜色 4 4" xfId="514"/>
    <cellStyle name="40% - 强调文字颜色 4 4 2" xfId="515"/>
    <cellStyle name="40% - 强调文字颜色 4 4 2 2" xfId="516"/>
    <cellStyle name="40% - 强调文字颜色 4 4 2 3" xfId="517"/>
    <cellStyle name="40% - 强调文字颜色 4 4 2 4" xfId="518"/>
    <cellStyle name="40% - 强调文字颜色 4 4 3" xfId="519"/>
    <cellStyle name="40% - 强调文字颜色 4 4 3 2" xfId="520"/>
    <cellStyle name="40% - 强调文字颜色 4 4 3 3" xfId="521"/>
    <cellStyle name="40% - 强调文字颜色 4 4 3 4" xfId="522"/>
    <cellStyle name="40% - 强调文字颜色 4 4 4" xfId="523"/>
    <cellStyle name="40% - 强调文字颜色 4 4 4 2" xfId="524"/>
    <cellStyle name="40% - 强调文字颜色 4 4 4 3" xfId="525"/>
    <cellStyle name="40% - 强调文字颜色 4 4 4 4" xfId="526"/>
    <cellStyle name="40% - 强调文字颜色 4 4 5" xfId="527"/>
    <cellStyle name="40% - 强调文字颜色 4 4 6" xfId="528"/>
    <cellStyle name="40% - 强调文字颜色 4 4 7" xfId="529"/>
    <cellStyle name="40% - 强调文字颜色 5 2" xfId="530"/>
    <cellStyle name="40% - 强调文字颜色 5 2 2" xfId="531"/>
    <cellStyle name="40% - 强调文字颜色 5 2 2 2" xfId="532"/>
    <cellStyle name="40% - 强调文字颜色 5 2 2 3" xfId="533"/>
    <cellStyle name="40% - 强调文字颜色 5 2 2 4" xfId="534"/>
    <cellStyle name="40% - 强调文字颜色 5 2 3" xfId="535"/>
    <cellStyle name="40% - 强调文字颜色 5 2 3 2" xfId="536"/>
    <cellStyle name="40% - 强调文字颜色 5 2 3 3" xfId="537"/>
    <cellStyle name="40% - 强调文字颜色 5 2 3 4" xfId="538"/>
    <cellStyle name="40% - 强调文字颜色 5 2 4" xfId="539"/>
    <cellStyle name="40% - 强调文字颜色 5 2 4 2" xfId="540"/>
    <cellStyle name="40% - 强调文字颜色 5 2 4 3" xfId="541"/>
    <cellStyle name="40% - 强调文字颜色 5 2 4 4" xfId="542"/>
    <cellStyle name="40% - 强调文字颜色 5 2 5" xfId="543"/>
    <cellStyle name="40% - 强调文字颜色 5 2 6" xfId="544"/>
    <cellStyle name="40% - 强调文字颜色 5 2 7" xfId="545"/>
    <cellStyle name="40% - 强调文字颜色 5 3" xfId="546"/>
    <cellStyle name="40% - 强调文字颜色 5 3 2" xfId="547"/>
    <cellStyle name="40% - 强调文字颜色 5 3 2 2" xfId="548"/>
    <cellStyle name="40% - 强调文字颜色 5 3 2 3" xfId="549"/>
    <cellStyle name="40% - 强调文字颜色 5 3 2 4" xfId="550"/>
    <cellStyle name="40% - 强调文字颜色 5 3 3" xfId="551"/>
    <cellStyle name="40% - 强调文字颜色 5 3 3 2" xfId="552"/>
    <cellStyle name="40% - 强调文字颜色 5 3 3 3" xfId="553"/>
    <cellStyle name="40% - 强调文字颜色 5 3 3 4" xfId="554"/>
    <cellStyle name="40% - 强调文字颜色 5 3 4" xfId="555"/>
    <cellStyle name="40% - 强调文字颜色 5 3 4 2" xfId="556"/>
    <cellStyle name="40% - 强调文字颜色 5 3 4 3" xfId="557"/>
    <cellStyle name="40% - 强调文字颜色 5 3 4 4" xfId="558"/>
    <cellStyle name="40% - 强调文字颜色 5 3 5" xfId="559"/>
    <cellStyle name="40% - 强调文字颜色 5 3 6" xfId="560"/>
    <cellStyle name="40% - 强调文字颜色 5 3 7" xfId="561"/>
    <cellStyle name="40% - 强调文字颜色 5 4" xfId="562"/>
    <cellStyle name="40% - 强调文字颜色 5 4 2" xfId="563"/>
    <cellStyle name="40% - 强调文字颜色 5 4 2 2" xfId="564"/>
    <cellStyle name="40% - 强调文字颜色 5 4 2 3" xfId="565"/>
    <cellStyle name="40% - 强调文字颜色 5 4 2 4" xfId="566"/>
    <cellStyle name="40% - 强调文字颜色 5 4 3" xfId="567"/>
    <cellStyle name="40% - 强调文字颜色 5 4 3 2" xfId="568"/>
    <cellStyle name="40% - 强调文字颜色 5 4 3 3" xfId="569"/>
    <cellStyle name="40% - 强调文字颜色 5 4 3 4" xfId="570"/>
    <cellStyle name="40% - 强调文字颜色 5 4 4" xfId="571"/>
    <cellStyle name="40% - 强调文字颜色 5 4 4 2" xfId="572"/>
    <cellStyle name="40% - 强调文字颜色 5 4 4 3" xfId="573"/>
    <cellStyle name="40% - 强调文字颜色 5 4 4 4" xfId="574"/>
    <cellStyle name="40% - 强调文字颜色 5 4 5" xfId="575"/>
    <cellStyle name="40% - 强调文字颜色 5 4 6" xfId="576"/>
    <cellStyle name="40% - 强调文字颜色 5 4 7" xfId="577"/>
    <cellStyle name="40% - 强调文字颜色 6 2" xfId="578"/>
    <cellStyle name="40% - 强调文字颜色 6 2 2" xfId="579"/>
    <cellStyle name="40% - 强调文字颜色 6 2 2 2" xfId="580"/>
    <cellStyle name="40% - 强调文字颜色 6 2 2 3" xfId="581"/>
    <cellStyle name="40% - 强调文字颜色 6 2 2 4" xfId="582"/>
    <cellStyle name="40% - 强调文字颜色 6 2 3" xfId="583"/>
    <cellStyle name="40% - 强调文字颜色 6 2 3 2" xfId="584"/>
    <cellStyle name="40% - 强调文字颜色 6 2 3 3" xfId="585"/>
    <cellStyle name="40% - 强调文字颜色 6 2 3 4" xfId="586"/>
    <cellStyle name="40% - 强调文字颜色 6 2 4" xfId="587"/>
    <cellStyle name="40% - 强调文字颜色 6 2 4 2" xfId="588"/>
    <cellStyle name="40% - 强调文字颜色 6 2 4 3" xfId="589"/>
    <cellStyle name="40% - 强调文字颜色 6 2 4 4" xfId="590"/>
    <cellStyle name="40% - 强调文字颜色 6 2 5" xfId="591"/>
    <cellStyle name="40% - 强调文字颜色 6 2 6" xfId="592"/>
    <cellStyle name="40% - 强调文字颜色 6 2 7" xfId="593"/>
    <cellStyle name="40% - 强调文字颜色 6 3" xfId="594"/>
    <cellStyle name="40% - 强调文字颜色 6 3 2" xfId="595"/>
    <cellStyle name="40% - 强调文字颜色 6 3 2 2" xfId="596"/>
    <cellStyle name="40% - 强调文字颜色 6 3 2 3" xfId="597"/>
    <cellStyle name="40% - 强调文字颜色 6 3 2 4" xfId="598"/>
    <cellStyle name="40% - 强调文字颜色 6 3 3" xfId="599"/>
    <cellStyle name="40% - 强调文字颜色 6 3 3 2" xfId="600"/>
    <cellStyle name="40% - 强调文字颜色 6 3 3 3" xfId="601"/>
    <cellStyle name="40% - 强调文字颜色 6 3 3 4" xfId="602"/>
    <cellStyle name="40% - 强调文字颜色 6 3 4" xfId="603"/>
    <cellStyle name="40% - 强调文字颜色 6 3 4 2" xfId="604"/>
    <cellStyle name="40% - 强调文字颜色 6 3 4 3" xfId="605"/>
    <cellStyle name="40% - 强调文字颜色 6 3 4 4" xfId="606"/>
    <cellStyle name="40% - 强调文字颜色 6 3 5" xfId="607"/>
    <cellStyle name="40% - 强调文字颜色 6 3 6" xfId="608"/>
    <cellStyle name="40% - 强调文字颜色 6 3 7" xfId="609"/>
    <cellStyle name="40% - 强调文字颜色 6 4" xfId="610"/>
    <cellStyle name="40% - 强调文字颜色 6 4 2" xfId="611"/>
    <cellStyle name="40% - 强调文字颜色 6 4 2 2" xfId="612"/>
    <cellStyle name="40% - 强调文字颜色 6 4 2 3" xfId="613"/>
    <cellStyle name="40% - 强调文字颜色 6 4 2 4" xfId="614"/>
    <cellStyle name="40% - 强调文字颜色 6 4 3" xfId="615"/>
    <cellStyle name="40% - 强调文字颜色 6 4 3 2" xfId="616"/>
    <cellStyle name="40% - 强调文字颜色 6 4 3 3" xfId="617"/>
    <cellStyle name="40% - 强调文字颜色 6 4 3 4" xfId="618"/>
    <cellStyle name="40% - 强调文字颜色 6 4 4" xfId="619"/>
    <cellStyle name="40% - 强调文字颜色 6 4 4 2" xfId="620"/>
    <cellStyle name="40% - 强调文字颜色 6 4 4 3" xfId="621"/>
    <cellStyle name="40% - 强调文字颜色 6 4 4 4" xfId="622"/>
    <cellStyle name="40% - 强调文字颜色 6 4 5" xfId="623"/>
    <cellStyle name="40% - 强调文字颜色 6 4 6" xfId="624"/>
    <cellStyle name="40% - 强调文字颜色 6 4 7" xfId="625"/>
    <cellStyle name="60% - 强调文字颜色 1 2" xfId="626"/>
    <cellStyle name="60% - 强调文字颜色 1 2 2" xfId="627"/>
    <cellStyle name="60% - 强调文字颜色 1 2 2 2" xfId="628"/>
    <cellStyle name="60% - 强调文字颜色 1 2 2 3" xfId="629"/>
    <cellStyle name="60% - 强调文字颜色 1 2 2 4" xfId="630"/>
    <cellStyle name="60% - 强调文字颜色 1 2 3" xfId="631"/>
    <cellStyle name="60% - 强调文字颜色 1 2 3 2" xfId="632"/>
    <cellStyle name="60% - 强调文字颜色 1 2 3 3" xfId="633"/>
    <cellStyle name="60% - 强调文字颜色 1 2 3 4" xfId="634"/>
    <cellStyle name="60% - 强调文字颜色 1 2 4" xfId="635"/>
    <cellStyle name="60% - 强调文字颜色 1 2 4 2" xfId="636"/>
    <cellStyle name="60% - 强调文字颜色 1 2 4 3" xfId="637"/>
    <cellStyle name="60% - 强调文字颜色 1 2 4 4" xfId="638"/>
    <cellStyle name="60% - 强调文字颜色 1 2 5" xfId="639"/>
    <cellStyle name="60% - 强调文字颜色 1 2 6" xfId="640"/>
    <cellStyle name="60% - 强调文字颜色 1 2 7" xfId="641"/>
    <cellStyle name="60% - 强调文字颜色 1 3" xfId="642"/>
    <cellStyle name="60% - 强调文字颜色 1 3 2" xfId="643"/>
    <cellStyle name="60% - 强调文字颜色 1 3 2 2" xfId="644"/>
    <cellStyle name="60% - 强调文字颜色 1 3 2 3" xfId="645"/>
    <cellStyle name="60% - 强调文字颜色 1 3 2 4" xfId="646"/>
    <cellStyle name="60% - 强调文字颜色 1 3 3" xfId="647"/>
    <cellStyle name="60% - 强调文字颜色 1 3 3 2" xfId="648"/>
    <cellStyle name="60% - 强调文字颜色 1 3 3 3" xfId="649"/>
    <cellStyle name="60% - 强调文字颜色 1 3 3 4" xfId="650"/>
    <cellStyle name="60% - 强调文字颜色 1 3 4" xfId="651"/>
    <cellStyle name="60% - 强调文字颜色 1 3 4 2" xfId="652"/>
    <cellStyle name="60% - 强调文字颜色 1 3 4 3" xfId="653"/>
    <cellStyle name="60% - 强调文字颜色 1 3 4 4" xfId="654"/>
    <cellStyle name="60% - 强调文字颜色 1 3 5" xfId="655"/>
    <cellStyle name="60% - 强调文字颜色 1 3 6" xfId="656"/>
    <cellStyle name="60% - 强调文字颜色 1 3 7" xfId="657"/>
    <cellStyle name="60% - 强调文字颜色 1 4" xfId="658"/>
    <cellStyle name="60% - 强调文字颜色 1 4 2" xfId="659"/>
    <cellStyle name="60% - 强调文字颜色 1 4 2 2" xfId="660"/>
    <cellStyle name="60% - 强调文字颜色 1 4 2 3" xfId="661"/>
    <cellStyle name="60% - 强调文字颜色 1 4 2 4" xfId="662"/>
    <cellStyle name="60% - 强调文字颜色 1 4 3" xfId="663"/>
    <cellStyle name="60% - 强调文字颜色 1 4 3 2" xfId="664"/>
    <cellStyle name="60% - 强调文字颜色 1 4 3 3" xfId="665"/>
    <cellStyle name="60% - 强调文字颜色 1 4 3 4" xfId="666"/>
    <cellStyle name="60% - 强调文字颜色 1 4 4" xfId="667"/>
    <cellStyle name="60% - 强调文字颜色 1 4 4 2" xfId="668"/>
    <cellStyle name="60% - 强调文字颜色 1 4 4 3" xfId="669"/>
    <cellStyle name="60% - 强调文字颜色 1 4 4 4" xfId="670"/>
    <cellStyle name="60% - 强调文字颜色 1 4 5" xfId="671"/>
    <cellStyle name="60% - 强调文字颜色 1 4 6" xfId="672"/>
    <cellStyle name="60% - 强调文字颜色 1 4 7" xfId="673"/>
    <cellStyle name="60% - 强调文字颜色 2 2" xfId="674"/>
    <cellStyle name="60% - 强调文字颜色 2 2 2" xfId="675"/>
    <cellStyle name="60% - 强调文字颜色 2 2 2 2" xfId="676"/>
    <cellStyle name="60% - 强调文字颜色 2 2 2 3" xfId="677"/>
    <cellStyle name="60% - 强调文字颜色 2 2 2 4" xfId="678"/>
    <cellStyle name="60% - 强调文字颜色 2 2 3" xfId="679"/>
    <cellStyle name="60% - 强调文字颜色 2 2 3 2" xfId="680"/>
    <cellStyle name="60% - 强调文字颜色 2 2 3 3" xfId="681"/>
    <cellStyle name="60% - 强调文字颜色 2 2 3 4" xfId="682"/>
    <cellStyle name="60% - 强调文字颜色 2 2 4" xfId="683"/>
    <cellStyle name="60% - 强调文字颜色 2 2 4 2" xfId="684"/>
    <cellStyle name="60% - 强调文字颜色 2 2 4 3" xfId="685"/>
    <cellStyle name="60% - 强调文字颜色 2 2 4 4" xfId="686"/>
    <cellStyle name="60% - 强调文字颜色 2 2 5" xfId="687"/>
    <cellStyle name="60% - 强调文字颜色 2 2 6" xfId="688"/>
    <cellStyle name="60% - 强调文字颜色 2 2 7" xfId="689"/>
    <cellStyle name="60% - 强调文字颜色 2 3" xfId="690"/>
    <cellStyle name="60% - 强调文字颜色 2 3 2" xfId="691"/>
    <cellStyle name="60% - 强调文字颜色 2 3 2 2" xfId="692"/>
    <cellStyle name="60% - 强调文字颜色 2 3 2 3" xfId="693"/>
    <cellStyle name="60% - 强调文字颜色 2 3 2 4" xfId="694"/>
    <cellStyle name="60% - 强调文字颜色 2 3 3" xfId="695"/>
    <cellStyle name="60% - 强调文字颜色 2 3 3 2" xfId="696"/>
    <cellStyle name="60% - 强调文字颜色 2 3 3 3" xfId="697"/>
    <cellStyle name="60% - 强调文字颜色 2 3 3 4" xfId="698"/>
    <cellStyle name="60% - 强调文字颜色 2 3 4" xfId="699"/>
    <cellStyle name="60% - 强调文字颜色 2 3 4 2" xfId="700"/>
    <cellStyle name="60% - 强调文字颜色 2 3 4 3" xfId="701"/>
    <cellStyle name="60% - 强调文字颜色 2 3 4 4" xfId="702"/>
    <cellStyle name="60% - 强调文字颜色 2 3 5" xfId="703"/>
    <cellStyle name="60% - 强调文字颜色 2 3 6" xfId="704"/>
    <cellStyle name="60% - 强调文字颜色 2 3 7" xfId="705"/>
    <cellStyle name="60% - 强调文字颜色 2 4" xfId="706"/>
    <cellStyle name="60% - 强调文字颜色 2 4 2" xfId="707"/>
    <cellStyle name="60% - 强调文字颜色 2 4 2 2" xfId="708"/>
    <cellStyle name="60% - 强调文字颜色 2 4 2 3" xfId="709"/>
    <cellStyle name="60% - 强调文字颜色 2 4 2 4" xfId="710"/>
    <cellStyle name="60% - 强调文字颜色 2 4 3" xfId="711"/>
    <cellStyle name="60% - 强调文字颜色 2 4 3 2" xfId="712"/>
    <cellStyle name="60% - 强调文字颜色 2 4 3 3" xfId="713"/>
    <cellStyle name="60% - 强调文字颜色 2 4 3 4" xfId="714"/>
    <cellStyle name="60% - 强调文字颜色 2 4 4" xfId="715"/>
    <cellStyle name="60% - 强调文字颜色 2 4 4 2" xfId="716"/>
    <cellStyle name="60% - 强调文字颜色 2 4 4 3" xfId="717"/>
    <cellStyle name="60% - 强调文字颜色 2 4 4 4" xfId="718"/>
    <cellStyle name="60% - 强调文字颜色 2 4 5" xfId="719"/>
    <cellStyle name="60% - 强调文字颜色 2 4 6" xfId="720"/>
    <cellStyle name="60% - 强调文字颜色 2 4 7" xfId="721"/>
    <cellStyle name="60% - 强调文字颜色 3 2" xfId="722"/>
    <cellStyle name="60% - 强调文字颜色 3 2 2" xfId="723"/>
    <cellStyle name="60% - 强调文字颜色 3 2 2 2" xfId="724"/>
    <cellStyle name="60% - 强调文字颜色 3 2 2 3" xfId="725"/>
    <cellStyle name="60% - 强调文字颜色 3 2 2 4" xfId="726"/>
    <cellStyle name="60% - 强调文字颜色 3 2 3" xfId="727"/>
    <cellStyle name="60% - 强调文字颜色 3 2 3 2" xfId="728"/>
    <cellStyle name="60% - 强调文字颜色 3 2 3 3" xfId="729"/>
    <cellStyle name="60% - 强调文字颜色 3 2 3 4" xfId="730"/>
    <cellStyle name="60% - 强调文字颜色 3 2 4" xfId="731"/>
    <cellStyle name="60% - 强调文字颜色 3 2 4 2" xfId="732"/>
    <cellStyle name="60% - 强调文字颜色 3 2 4 3" xfId="733"/>
    <cellStyle name="60% - 强调文字颜色 3 2 4 4" xfId="734"/>
    <cellStyle name="60% - 强调文字颜色 3 2 5" xfId="735"/>
    <cellStyle name="60% - 强调文字颜色 3 2 6" xfId="736"/>
    <cellStyle name="60% - 强调文字颜色 3 2 7" xfId="737"/>
    <cellStyle name="60% - 强调文字颜色 3 3" xfId="738"/>
    <cellStyle name="60% - 强调文字颜色 3 3 2" xfId="739"/>
    <cellStyle name="60% - 强调文字颜色 3 3 2 2" xfId="740"/>
    <cellStyle name="60% - 强调文字颜色 3 3 2 3" xfId="741"/>
    <cellStyle name="60% - 强调文字颜色 3 3 2 4" xfId="742"/>
    <cellStyle name="60% - 强调文字颜色 3 3 3" xfId="743"/>
    <cellStyle name="60% - 强调文字颜色 3 3 3 2" xfId="744"/>
    <cellStyle name="60% - 强调文字颜色 3 3 3 3" xfId="745"/>
    <cellStyle name="60% - 强调文字颜色 3 3 3 4" xfId="746"/>
    <cellStyle name="60% - 强调文字颜色 3 3 4" xfId="747"/>
    <cellStyle name="60% - 强调文字颜色 3 3 4 2" xfId="748"/>
    <cellStyle name="60% - 强调文字颜色 3 3 4 3" xfId="749"/>
    <cellStyle name="60% - 强调文字颜色 3 3 4 4" xfId="750"/>
    <cellStyle name="60% - 强调文字颜色 3 3 5" xfId="751"/>
    <cellStyle name="60% - 强调文字颜色 3 3 6" xfId="752"/>
    <cellStyle name="60% - 强调文字颜色 3 3 7" xfId="753"/>
    <cellStyle name="60% - 强调文字颜色 3 4" xfId="754"/>
    <cellStyle name="60% - 强调文字颜色 3 4 2" xfId="755"/>
    <cellStyle name="60% - 强调文字颜色 3 4 2 2" xfId="756"/>
    <cellStyle name="60% - 强调文字颜色 3 4 2 3" xfId="757"/>
    <cellStyle name="60% - 强调文字颜色 3 4 2 4" xfId="758"/>
    <cellStyle name="60% - 强调文字颜色 3 4 3" xfId="759"/>
    <cellStyle name="60% - 强调文字颜色 3 4 3 2" xfId="760"/>
    <cellStyle name="60% - 强调文字颜色 3 4 3 3" xfId="761"/>
    <cellStyle name="60% - 强调文字颜色 3 4 3 4" xfId="762"/>
    <cellStyle name="60% - 强调文字颜色 3 4 4" xfId="763"/>
    <cellStyle name="60% - 强调文字颜色 3 4 4 2" xfId="764"/>
    <cellStyle name="60% - 强调文字颜色 3 4 4 3" xfId="765"/>
    <cellStyle name="60% - 强调文字颜色 3 4 4 4" xfId="766"/>
    <cellStyle name="60% - 强调文字颜色 3 4 5" xfId="767"/>
    <cellStyle name="60% - 强调文字颜色 3 4 6" xfId="768"/>
    <cellStyle name="60% - 强调文字颜色 3 4 7" xfId="769"/>
    <cellStyle name="60% - 强调文字颜色 4 2" xfId="770"/>
    <cellStyle name="60% - 强调文字颜色 4 2 2" xfId="771"/>
    <cellStyle name="60% - 强调文字颜色 4 2 2 2" xfId="772"/>
    <cellStyle name="60% - 强调文字颜色 4 2 2 3" xfId="773"/>
    <cellStyle name="60% - 强调文字颜色 4 2 2 4" xfId="774"/>
    <cellStyle name="60% - 强调文字颜色 4 2 3" xfId="775"/>
    <cellStyle name="60% - 强调文字颜色 4 2 3 2" xfId="776"/>
    <cellStyle name="60% - 强调文字颜色 4 2 3 3" xfId="777"/>
    <cellStyle name="60% - 强调文字颜色 4 2 3 4" xfId="778"/>
    <cellStyle name="60% - 强调文字颜色 4 2 4" xfId="779"/>
    <cellStyle name="60% - 强调文字颜色 4 2 4 2" xfId="780"/>
    <cellStyle name="60% - 强调文字颜色 4 2 4 3" xfId="781"/>
    <cellStyle name="60% - 强调文字颜色 4 2 4 4" xfId="782"/>
    <cellStyle name="60% - 强调文字颜色 4 2 5" xfId="783"/>
    <cellStyle name="60% - 强调文字颜色 4 2 6" xfId="784"/>
    <cellStyle name="60% - 强调文字颜色 4 2 7" xfId="785"/>
    <cellStyle name="60% - 强调文字颜色 4 3" xfId="786"/>
    <cellStyle name="60% - 强调文字颜色 4 3 2" xfId="787"/>
    <cellStyle name="60% - 强调文字颜色 4 3 2 2" xfId="788"/>
    <cellStyle name="60% - 强调文字颜色 4 3 2 3" xfId="789"/>
    <cellStyle name="60% - 强调文字颜色 4 3 2 4" xfId="790"/>
    <cellStyle name="60% - 强调文字颜色 4 3 3" xfId="791"/>
    <cellStyle name="60% - 强调文字颜色 4 3 3 2" xfId="792"/>
    <cellStyle name="60% - 强调文字颜色 4 3 3 3" xfId="793"/>
    <cellStyle name="60% - 强调文字颜色 4 3 3 4" xfId="794"/>
    <cellStyle name="60% - 强调文字颜色 4 3 4" xfId="795"/>
    <cellStyle name="60% - 强调文字颜色 4 3 4 2" xfId="796"/>
    <cellStyle name="60% - 强调文字颜色 4 3 4 3" xfId="797"/>
    <cellStyle name="60% - 强调文字颜色 4 3 4 4" xfId="798"/>
    <cellStyle name="60% - 强调文字颜色 4 3 5" xfId="799"/>
    <cellStyle name="60% - 强调文字颜色 4 3 6" xfId="800"/>
    <cellStyle name="60% - 强调文字颜色 4 3 7" xfId="801"/>
    <cellStyle name="60% - 强调文字颜色 4 4" xfId="802"/>
    <cellStyle name="60% - 强调文字颜色 4 4 2" xfId="803"/>
    <cellStyle name="60% - 强调文字颜色 4 4 2 2" xfId="804"/>
    <cellStyle name="60% - 强调文字颜色 4 4 2 3" xfId="805"/>
    <cellStyle name="60% - 强调文字颜色 4 4 2 4" xfId="806"/>
    <cellStyle name="60% - 强调文字颜色 4 4 3" xfId="807"/>
    <cellStyle name="60% - 强调文字颜色 4 4 3 2" xfId="808"/>
    <cellStyle name="60% - 强调文字颜色 4 4 3 3" xfId="809"/>
    <cellStyle name="60% - 强调文字颜色 4 4 3 4" xfId="810"/>
    <cellStyle name="60% - 强调文字颜色 4 4 4" xfId="811"/>
    <cellStyle name="60% - 强调文字颜色 4 4 4 2" xfId="812"/>
    <cellStyle name="60% - 强调文字颜色 4 4 4 3" xfId="813"/>
    <cellStyle name="60% - 强调文字颜色 4 4 4 4" xfId="814"/>
    <cellStyle name="60% - 强调文字颜色 4 4 5" xfId="815"/>
    <cellStyle name="60% - 强调文字颜色 4 4 6" xfId="816"/>
    <cellStyle name="60% - 强调文字颜色 4 4 7" xfId="817"/>
    <cellStyle name="60% - 强调文字颜色 5 2" xfId="818"/>
    <cellStyle name="60% - 强调文字颜色 5 2 2" xfId="819"/>
    <cellStyle name="60% - 强调文字颜色 5 2 2 2" xfId="820"/>
    <cellStyle name="60% - 强调文字颜色 5 2 2 3" xfId="821"/>
    <cellStyle name="60% - 强调文字颜色 5 2 2 4" xfId="822"/>
    <cellStyle name="60% - 强调文字颜色 5 2 3" xfId="823"/>
    <cellStyle name="60% - 强调文字颜色 5 2 3 2" xfId="824"/>
    <cellStyle name="60% - 强调文字颜色 5 2 3 3" xfId="825"/>
    <cellStyle name="60% - 强调文字颜色 5 2 3 4" xfId="826"/>
    <cellStyle name="60% - 强调文字颜色 5 2 4" xfId="827"/>
    <cellStyle name="60% - 强调文字颜色 5 2 4 2" xfId="828"/>
    <cellStyle name="60% - 强调文字颜色 5 2 4 3" xfId="829"/>
    <cellStyle name="60% - 强调文字颜色 5 2 4 4" xfId="830"/>
    <cellStyle name="60% - 强调文字颜色 5 2 5" xfId="831"/>
    <cellStyle name="60% - 强调文字颜色 5 2 6" xfId="832"/>
    <cellStyle name="60% - 强调文字颜色 5 2 7" xfId="833"/>
    <cellStyle name="60% - 强调文字颜色 5 3" xfId="834"/>
    <cellStyle name="60% - 强调文字颜色 5 3 2" xfId="835"/>
    <cellStyle name="60% - 强调文字颜色 5 3 2 2" xfId="836"/>
    <cellStyle name="60% - 强调文字颜色 5 3 2 3" xfId="837"/>
    <cellStyle name="60% - 强调文字颜色 5 3 2 4" xfId="838"/>
    <cellStyle name="60% - 强调文字颜色 5 3 3" xfId="839"/>
    <cellStyle name="60% - 强调文字颜色 5 3 3 2" xfId="840"/>
    <cellStyle name="60% - 强调文字颜色 5 3 3 3" xfId="841"/>
    <cellStyle name="60% - 强调文字颜色 5 3 3 4" xfId="842"/>
    <cellStyle name="60% - 强调文字颜色 5 3 4" xfId="843"/>
    <cellStyle name="60% - 强调文字颜色 5 3 4 2" xfId="844"/>
    <cellStyle name="60% - 强调文字颜色 5 3 4 3" xfId="845"/>
    <cellStyle name="60% - 强调文字颜色 5 3 4 4" xfId="846"/>
    <cellStyle name="60% - 强调文字颜色 5 3 5" xfId="847"/>
    <cellStyle name="60% - 强调文字颜色 5 3 6" xfId="848"/>
    <cellStyle name="60% - 强调文字颜色 5 3 7" xfId="849"/>
    <cellStyle name="60% - 强调文字颜色 5 4" xfId="850"/>
    <cellStyle name="60% - 强调文字颜色 5 4 2" xfId="851"/>
    <cellStyle name="60% - 强调文字颜色 5 4 2 2" xfId="852"/>
    <cellStyle name="60% - 强调文字颜色 5 4 2 3" xfId="853"/>
    <cellStyle name="60% - 强调文字颜色 5 4 2 4" xfId="854"/>
    <cellStyle name="60% - 强调文字颜色 5 4 3" xfId="855"/>
    <cellStyle name="60% - 强调文字颜色 5 4 3 2" xfId="856"/>
    <cellStyle name="60% - 强调文字颜色 5 4 3 3" xfId="857"/>
    <cellStyle name="60% - 强调文字颜色 5 4 3 4" xfId="858"/>
    <cellStyle name="60% - 强调文字颜色 5 4 4" xfId="859"/>
    <cellStyle name="60% - 强调文字颜色 5 4 4 2" xfId="860"/>
    <cellStyle name="60% - 强调文字颜色 5 4 4 3" xfId="861"/>
    <cellStyle name="60% - 强调文字颜色 5 4 4 4" xfId="862"/>
    <cellStyle name="60% - 强调文字颜色 5 4 5" xfId="863"/>
    <cellStyle name="60% - 强调文字颜色 5 4 6" xfId="864"/>
    <cellStyle name="60% - 强调文字颜色 5 4 7" xfId="865"/>
    <cellStyle name="60% - 强调文字颜色 6 2" xfId="866"/>
    <cellStyle name="60% - 强调文字颜色 6 2 2" xfId="867"/>
    <cellStyle name="60% - 强调文字颜色 6 2 2 2" xfId="868"/>
    <cellStyle name="60% - 强调文字颜色 6 2 2 3" xfId="869"/>
    <cellStyle name="60% - 强调文字颜色 6 2 2 4" xfId="870"/>
    <cellStyle name="60% - 强调文字颜色 6 2 3" xfId="871"/>
    <cellStyle name="60% - 强调文字颜色 6 2 3 2" xfId="872"/>
    <cellStyle name="60% - 强调文字颜色 6 2 3 3" xfId="873"/>
    <cellStyle name="60% - 强调文字颜色 6 2 3 4" xfId="874"/>
    <cellStyle name="60% - 强调文字颜色 6 2 4" xfId="875"/>
    <cellStyle name="60% - 强调文字颜色 6 2 4 2" xfId="876"/>
    <cellStyle name="60% - 强调文字颜色 6 2 4 3" xfId="877"/>
    <cellStyle name="60% - 强调文字颜色 6 2 4 4" xfId="878"/>
    <cellStyle name="60% - 强调文字颜色 6 2 5" xfId="879"/>
    <cellStyle name="60% - 强调文字颜色 6 2 6" xfId="880"/>
    <cellStyle name="60% - 强调文字颜色 6 2 7" xfId="881"/>
    <cellStyle name="60% - 强调文字颜色 6 3" xfId="882"/>
    <cellStyle name="60% - 强调文字颜色 6 3 2" xfId="883"/>
    <cellStyle name="60% - 强调文字颜色 6 3 2 2" xfId="884"/>
    <cellStyle name="60% - 强调文字颜色 6 3 2 3" xfId="885"/>
    <cellStyle name="60% - 强调文字颜色 6 3 2 4" xfId="886"/>
    <cellStyle name="60% - 强调文字颜色 6 3 3" xfId="887"/>
    <cellStyle name="60% - 强调文字颜色 6 3 3 2" xfId="888"/>
    <cellStyle name="60% - 强调文字颜色 6 3 3 3" xfId="889"/>
    <cellStyle name="60% - 强调文字颜色 6 3 3 4" xfId="890"/>
    <cellStyle name="60% - 强调文字颜色 6 3 4" xfId="891"/>
    <cellStyle name="60% - 强调文字颜色 6 3 4 2" xfId="892"/>
    <cellStyle name="60% - 强调文字颜色 6 3 4 3" xfId="893"/>
    <cellStyle name="60% - 强调文字颜色 6 3 4 4" xfId="894"/>
    <cellStyle name="60% - 强调文字颜色 6 3 5" xfId="895"/>
    <cellStyle name="60% - 强调文字颜色 6 3 6" xfId="896"/>
    <cellStyle name="60% - 强调文字颜色 6 3 7" xfId="897"/>
    <cellStyle name="60% - 强调文字颜色 6 4" xfId="898"/>
    <cellStyle name="60% - 强调文字颜色 6 4 2" xfId="899"/>
    <cellStyle name="60% - 强调文字颜色 6 4 2 2" xfId="900"/>
    <cellStyle name="60% - 强调文字颜色 6 4 2 3" xfId="901"/>
    <cellStyle name="60% - 强调文字颜色 6 4 2 4" xfId="902"/>
    <cellStyle name="60% - 强调文字颜色 6 4 3" xfId="903"/>
    <cellStyle name="60% - 强调文字颜色 6 4 3 2" xfId="904"/>
    <cellStyle name="60% - 强调文字颜色 6 4 3 3" xfId="905"/>
    <cellStyle name="60% - 强调文字颜色 6 4 3 4" xfId="906"/>
    <cellStyle name="60% - 强调文字颜色 6 4 4" xfId="907"/>
    <cellStyle name="60% - 强调文字颜色 6 4 4 2" xfId="908"/>
    <cellStyle name="60% - 强调文字颜色 6 4 4 3" xfId="909"/>
    <cellStyle name="60% - 强调文字颜色 6 4 4 4" xfId="910"/>
    <cellStyle name="60% - 强调文字颜色 6 4 5" xfId="911"/>
    <cellStyle name="60% - 强调文字颜色 6 4 6" xfId="912"/>
    <cellStyle name="60% - 强调文字颜色 6 4 7" xfId="913"/>
    <cellStyle name="Normal_Hoja1" xfId="914"/>
    <cellStyle name="标题 1 2" xfId="915"/>
    <cellStyle name="标题 1 2 2" xfId="916"/>
    <cellStyle name="标题 1 2 2 2" xfId="917"/>
    <cellStyle name="标题 1 2 2 3" xfId="918"/>
    <cellStyle name="标题 1 2 2 4" xfId="919"/>
    <cellStyle name="标题 1 2 3" xfId="920"/>
    <cellStyle name="标题 1 2 3 2" xfId="921"/>
    <cellStyle name="标题 1 2 3 3" xfId="922"/>
    <cellStyle name="标题 1 2 3 4" xfId="923"/>
    <cellStyle name="标题 1 2 4" xfId="924"/>
    <cellStyle name="标题 1 2 4 2" xfId="925"/>
    <cellStyle name="标题 1 2 4 3" xfId="926"/>
    <cellStyle name="标题 1 2 4 4" xfId="927"/>
    <cellStyle name="标题 1 2 5" xfId="928"/>
    <cellStyle name="标题 1 2 6" xfId="929"/>
    <cellStyle name="标题 1 2 7" xfId="930"/>
    <cellStyle name="标题 1 3" xfId="931"/>
    <cellStyle name="标题 1 3 2" xfId="932"/>
    <cellStyle name="标题 1 3 2 2" xfId="933"/>
    <cellStyle name="标题 1 3 2 3" xfId="934"/>
    <cellStyle name="标题 1 3 2 4" xfId="935"/>
    <cellStyle name="标题 1 3 3" xfId="936"/>
    <cellStyle name="标题 1 3 3 2" xfId="937"/>
    <cellStyle name="标题 1 3 3 3" xfId="938"/>
    <cellStyle name="标题 1 3 3 4" xfId="939"/>
    <cellStyle name="标题 1 3 4" xfId="940"/>
    <cellStyle name="标题 1 3 4 2" xfId="941"/>
    <cellStyle name="标题 1 3 4 3" xfId="942"/>
    <cellStyle name="标题 1 3 4 4" xfId="943"/>
    <cellStyle name="标题 1 3 5" xfId="944"/>
    <cellStyle name="标题 1 3 6" xfId="945"/>
    <cellStyle name="标题 1 3 7" xfId="946"/>
    <cellStyle name="标题 1 4" xfId="947"/>
    <cellStyle name="标题 1 4 2" xfId="948"/>
    <cellStyle name="标题 1 4 2 2" xfId="949"/>
    <cellStyle name="标题 1 4 2 3" xfId="950"/>
    <cellStyle name="标题 1 4 2 4" xfId="951"/>
    <cellStyle name="标题 1 4 3" xfId="952"/>
    <cellStyle name="标题 1 4 3 2" xfId="953"/>
    <cellStyle name="标题 1 4 3 3" xfId="954"/>
    <cellStyle name="标题 1 4 3 4" xfId="955"/>
    <cellStyle name="标题 1 4 4" xfId="956"/>
    <cellStyle name="标题 1 4 4 2" xfId="957"/>
    <cellStyle name="标题 1 4 4 3" xfId="958"/>
    <cellStyle name="标题 1 4 4 4" xfId="959"/>
    <cellStyle name="标题 1 4 5" xfId="960"/>
    <cellStyle name="标题 1 4 6" xfId="961"/>
    <cellStyle name="标题 1 4 7" xfId="962"/>
    <cellStyle name="标题 2 2" xfId="963"/>
    <cellStyle name="标题 2 2 2" xfId="964"/>
    <cellStyle name="标题 2 2 2 2" xfId="965"/>
    <cellStyle name="标题 2 2 2 3" xfId="966"/>
    <cellStyle name="标题 2 2 2 4" xfId="967"/>
    <cellStyle name="标题 2 2 3" xfId="968"/>
    <cellStyle name="标题 2 2 3 2" xfId="969"/>
    <cellStyle name="标题 2 2 3 3" xfId="970"/>
    <cellStyle name="标题 2 2 3 4" xfId="971"/>
    <cellStyle name="标题 2 2 4" xfId="972"/>
    <cellStyle name="标题 2 2 4 2" xfId="973"/>
    <cellStyle name="标题 2 2 4 3" xfId="974"/>
    <cellStyle name="标题 2 2 4 4" xfId="975"/>
    <cellStyle name="标题 2 2 5" xfId="976"/>
    <cellStyle name="标题 2 2 6" xfId="977"/>
    <cellStyle name="标题 2 2 7" xfId="978"/>
    <cellStyle name="标题 2 3" xfId="979"/>
    <cellStyle name="标题 2 3 2" xfId="980"/>
    <cellStyle name="标题 2 3 2 2" xfId="981"/>
    <cellStyle name="标题 2 3 2 3" xfId="982"/>
    <cellStyle name="标题 2 3 2 4" xfId="983"/>
    <cellStyle name="标题 2 3 3" xfId="984"/>
    <cellStyle name="标题 2 3 3 2" xfId="985"/>
    <cellStyle name="标题 2 3 3 3" xfId="986"/>
    <cellStyle name="标题 2 3 3 4" xfId="987"/>
    <cellStyle name="标题 2 3 4" xfId="988"/>
    <cellStyle name="标题 2 3 4 2" xfId="989"/>
    <cellStyle name="标题 2 3 4 3" xfId="990"/>
    <cellStyle name="标题 2 3 4 4" xfId="991"/>
    <cellStyle name="标题 2 3 5" xfId="992"/>
    <cellStyle name="标题 2 3 6" xfId="993"/>
    <cellStyle name="标题 2 3 7" xfId="994"/>
    <cellStyle name="标题 2 4" xfId="995"/>
    <cellStyle name="标题 2 4 2" xfId="996"/>
    <cellStyle name="标题 2 4 2 2" xfId="997"/>
    <cellStyle name="标题 2 4 2 3" xfId="998"/>
    <cellStyle name="标题 2 4 2 4" xfId="999"/>
    <cellStyle name="标题 2 4 3" xfId="1000"/>
    <cellStyle name="标题 2 4 3 2" xfId="1001"/>
    <cellStyle name="标题 2 4 3 3" xfId="1002"/>
    <cellStyle name="标题 2 4 3 4" xfId="1003"/>
    <cellStyle name="标题 2 4 4" xfId="1004"/>
    <cellStyle name="标题 2 4 4 2" xfId="1005"/>
    <cellStyle name="标题 2 4 4 3" xfId="1006"/>
    <cellStyle name="标题 2 4 4 4" xfId="1007"/>
    <cellStyle name="标题 2 4 5" xfId="1008"/>
    <cellStyle name="标题 2 4 6" xfId="1009"/>
    <cellStyle name="标题 2 4 7" xfId="1010"/>
    <cellStyle name="标题 3 2" xfId="1011"/>
    <cellStyle name="标题 3 2 2" xfId="1012"/>
    <cellStyle name="标题 3 2 2 2" xfId="1013"/>
    <cellStyle name="标题 3 2 2 3" xfId="1014"/>
    <cellStyle name="标题 3 2 2 4" xfId="1015"/>
    <cellStyle name="标题 3 2 3" xfId="1016"/>
    <cellStyle name="标题 3 2 3 2" xfId="1017"/>
    <cellStyle name="标题 3 2 3 3" xfId="1018"/>
    <cellStyle name="标题 3 2 3 4" xfId="1019"/>
    <cellStyle name="标题 3 2 4" xfId="1020"/>
    <cellStyle name="标题 3 2 4 2" xfId="1021"/>
    <cellStyle name="标题 3 2 4 3" xfId="1022"/>
    <cellStyle name="标题 3 2 4 4" xfId="1023"/>
    <cellStyle name="标题 3 2 5" xfId="1024"/>
    <cellStyle name="标题 3 2 6" xfId="1025"/>
    <cellStyle name="标题 3 2 7" xfId="1026"/>
    <cellStyle name="标题 3 3" xfId="1027"/>
    <cellStyle name="标题 3 3 2" xfId="1028"/>
    <cellStyle name="标题 3 3 2 2" xfId="1029"/>
    <cellStyle name="标题 3 3 2 3" xfId="1030"/>
    <cellStyle name="标题 3 3 2 4" xfId="1031"/>
    <cellStyle name="标题 3 3 3" xfId="1032"/>
    <cellStyle name="标题 3 3 3 2" xfId="1033"/>
    <cellStyle name="标题 3 3 3 3" xfId="1034"/>
    <cellStyle name="标题 3 3 3 4" xfId="1035"/>
    <cellStyle name="标题 3 3 4" xfId="1036"/>
    <cellStyle name="标题 3 3 4 2" xfId="1037"/>
    <cellStyle name="标题 3 3 4 3" xfId="1038"/>
    <cellStyle name="标题 3 3 4 4" xfId="1039"/>
    <cellStyle name="标题 3 3 5" xfId="1040"/>
    <cellStyle name="标题 3 3 6" xfId="1041"/>
    <cellStyle name="标题 3 3 7" xfId="1042"/>
    <cellStyle name="标题 3 4" xfId="1043"/>
    <cellStyle name="标题 3 4 2" xfId="1044"/>
    <cellStyle name="标题 3 4 2 2" xfId="1045"/>
    <cellStyle name="标题 3 4 2 3" xfId="1046"/>
    <cellStyle name="标题 3 4 2 4" xfId="1047"/>
    <cellStyle name="标题 3 4 3" xfId="1048"/>
    <cellStyle name="标题 3 4 3 2" xfId="1049"/>
    <cellStyle name="标题 3 4 3 3" xfId="1050"/>
    <cellStyle name="标题 3 4 3 4" xfId="1051"/>
    <cellStyle name="标题 3 4 4" xfId="1052"/>
    <cellStyle name="标题 3 4 4 2" xfId="1053"/>
    <cellStyle name="标题 3 4 4 3" xfId="1054"/>
    <cellStyle name="标题 3 4 4 4" xfId="1055"/>
    <cellStyle name="标题 3 4 5" xfId="1056"/>
    <cellStyle name="标题 3 4 6" xfId="1057"/>
    <cellStyle name="标题 3 4 7" xfId="1058"/>
    <cellStyle name="标题 4 2" xfId="1059"/>
    <cellStyle name="标题 4 2 2" xfId="1060"/>
    <cellStyle name="标题 4 2 2 2" xfId="1061"/>
    <cellStyle name="标题 4 2 2 3" xfId="1062"/>
    <cellStyle name="标题 4 2 2 4" xfId="1063"/>
    <cellStyle name="标题 4 2 3" xfId="1064"/>
    <cellStyle name="标题 4 2 3 2" xfId="1065"/>
    <cellStyle name="标题 4 2 3 3" xfId="1066"/>
    <cellStyle name="标题 4 2 3 4" xfId="1067"/>
    <cellStyle name="标题 4 2 4" xfId="1068"/>
    <cellStyle name="标题 4 2 4 2" xfId="1069"/>
    <cellStyle name="标题 4 2 4 3" xfId="1070"/>
    <cellStyle name="标题 4 2 4 4" xfId="1071"/>
    <cellStyle name="标题 4 2 5" xfId="1072"/>
    <cellStyle name="标题 4 2 6" xfId="1073"/>
    <cellStyle name="标题 4 2 7" xfId="1074"/>
    <cellStyle name="标题 4 3" xfId="1075"/>
    <cellStyle name="标题 4 3 2" xfId="1076"/>
    <cellStyle name="标题 4 3 2 2" xfId="1077"/>
    <cellStyle name="标题 4 3 2 3" xfId="1078"/>
    <cellStyle name="标题 4 3 2 4" xfId="1079"/>
    <cellStyle name="标题 4 3 3" xfId="1080"/>
    <cellStyle name="标题 4 3 3 2" xfId="1081"/>
    <cellStyle name="标题 4 3 3 3" xfId="1082"/>
    <cellStyle name="标题 4 3 3 4" xfId="1083"/>
    <cellStyle name="标题 4 3 4" xfId="1084"/>
    <cellStyle name="标题 4 3 4 2" xfId="1085"/>
    <cellStyle name="标题 4 3 4 3" xfId="1086"/>
    <cellStyle name="标题 4 3 4 4" xfId="1087"/>
    <cellStyle name="标题 4 3 5" xfId="1088"/>
    <cellStyle name="标题 4 3 6" xfId="1089"/>
    <cellStyle name="标题 4 3 7" xfId="1090"/>
    <cellStyle name="标题 4 4" xfId="1091"/>
    <cellStyle name="标题 4 4 2" xfId="1092"/>
    <cellStyle name="标题 4 4 2 2" xfId="1093"/>
    <cellStyle name="标题 4 4 2 3" xfId="1094"/>
    <cellStyle name="标题 4 4 2 4" xfId="1095"/>
    <cellStyle name="标题 4 4 3" xfId="1096"/>
    <cellStyle name="标题 4 4 3 2" xfId="1097"/>
    <cellStyle name="标题 4 4 3 3" xfId="1098"/>
    <cellStyle name="标题 4 4 3 4" xfId="1099"/>
    <cellStyle name="标题 4 4 4" xfId="1100"/>
    <cellStyle name="标题 4 4 4 2" xfId="1101"/>
    <cellStyle name="标题 4 4 4 3" xfId="1102"/>
    <cellStyle name="标题 4 4 4 4" xfId="1103"/>
    <cellStyle name="标题 4 4 5" xfId="1104"/>
    <cellStyle name="标题 4 4 6" xfId="1105"/>
    <cellStyle name="标题 4 4 7" xfId="1106"/>
    <cellStyle name="标题 5" xfId="1107"/>
    <cellStyle name="标题 5 2" xfId="1108"/>
    <cellStyle name="标题 5 2 2" xfId="1109"/>
    <cellStyle name="标题 5 2 3" xfId="1110"/>
    <cellStyle name="标题 5 2 4" xfId="1111"/>
    <cellStyle name="标题 5 3" xfId="1112"/>
    <cellStyle name="标题 5 3 2" xfId="1113"/>
    <cellStyle name="标题 5 3 3" xfId="1114"/>
    <cellStyle name="标题 5 3 4" xfId="1115"/>
    <cellStyle name="标题 5 4" xfId="1116"/>
    <cellStyle name="标题 5 4 2" xfId="1117"/>
    <cellStyle name="标题 5 4 3" xfId="1118"/>
    <cellStyle name="标题 5 4 4" xfId="1119"/>
    <cellStyle name="标题 5 5" xfId="1120"/>
    <cellStyle name="标题 5 6" xfId="1121"/>
    <cellStyle name="标题 5 7" xfId="1122"/>
    <cellStyle name="标题 6" xfId="1123"/>
    <cellStyle name="标题 6 2" xfId="1124"/>
    <cellStyle name="标题 6 2 2" xfId="1125"/>
    <cellStyle name="标题 6 2 3" xfId="1126"/>
    <cellStyle name="标题 6 2 4" xfId="1127"/>
    <cellStyle name="标题 6 3" xfId="1128"/>
    <cellStyle name="标题 6 3 2" xfId="1129"/>
    <cellStyle name="标题 6 3 3" xfId="1130"/>
    <cellStyle name="标题 6 3 4" xfId="1131"/>
    <cellStyle name="标题 6 4" xfId="1132"/>
    <cellStyle name="标题 6 4 2" xfId="1133"/>
    <cellStyle name="标题 6 4 3" xfId="1134"/>
    <cellStyle name="标题 6 4 4" xfId="1135"/>
    <cellStyle name="标题 6 5" xfId="1136"/>
    <cellStyle name="标题 6 6" xfId="1137"/>
    <cellStyle name="标题 6 7" xfId="1138"/>
    <cellStyle name="标题 7" xfId="1139"/>
    <cellStyle name="标题 7 2" xfId="1140"/>
    <cellStyle name="标题 7 2 2" xfId="1141"/>
    <cellStyle name="标题 7 2 3" xfId="1142"/>
    <cellStyle name="标题 7 2 4" xfId="1143"/>
    <cellStyle name="标题 7 3" xfId="1144"/>
    <cellStyle name="标题 7 3 2" xfId="1145"/>
    <cellStyle name="标题 7 3 3" xfId="1146"/>
    <cellStyle name="标题 7 3 4" xfId="1147"/>
    <cellStyle name="标题 7 4" xfId="1148"/>
    <cellStyle name="标题 7 4 2" xfId="1149"/>
    <cellStyle name="标题 7 4 3" xfId="1150"/>
    <cellStyle name="标题 7 4 4" xfId="1151"/>
    <cellStyle name="标题 7 5" xfId="1152"/>
    <cellStyle name="标题 7 6" xfId="1153"/>
    <cellStyle name="标题 7 7" xfId="1154"/>
    <cellStyle name="差 2" xfId="1155"/>
    <cellStyle name="差 2 2" xfId="1156"/>
    <cellStyle name="差 2 2 2" xfId="1157"/>
    <cellStyle name="差 2 2 3" xfId="1158"/>
    <cellStyle name="差 2 2 4" xfId="1159"/>
    <cellStyle name="差 2 3" xfId="1160"/>
    <cellStyle name="差 2 3 2" xfId="1161"/>
    <cellStyle name="差 2 3 3" xfId="1162"/>
    <cellStyle name="差 2 3 4" xfId="1163"/>
    <cellStyle name="差 2 4" xfId="1164"/>
    <cellStyle name="差 2 4 2" xfId="1165"/>
    <cellStyle name="差 2 4 3" xfId="1166"/>
    <cellStyle name="差 2 4 4" xfId="1167"/>
    <cellStyle name="差 2 5" xfId="1168"/>
    <cellStyle name="差 2 6" xfId="1169"/>
    <cellStyle name="差 2 7" xfId="1170"/>
    <cellStyle name="差 3" xfId="1171"/>
    <cellStyle name="差 3 2" xfId="1172"/>
    <cellStyle name="差 3 2 2" xfId="1173"/>
    <cellStyle name="差 3 2 3" xfId="1174"/>
    <cellStyle name="差 3 2 4" xfId="1175"/>
    <cellStyle name="差 3 3" xfId="1176"/>
    <cellStyle name="差 3 3 2" xfId="1177"/>
    <cellStyle name="差 3 3 3" xfId="1178"/>
    <cellStyle name="差 3 3 4" xfId="1179"/>
    <cellStyle name="差 3 4" xfId="1180"/>
    <cellStyle name="差 3 4 2" xfId="1181"/>
    <cellStyle name="差 3 4 3" xfId="1182"/>
    <cellStyle name="差 3 4 4" xfId="1183"/>
    <cellStyle name="差 3 5" xfId="1184"/>
    <cellStyle name="差 3 6" xfId="1185"/>
    <cellStyle name="差 3 7" xfId="1186"/>
    <cellStyle name="差 4" xfId="1187"/>
    <cellStyle name="差 4 2" xfId="1188"/>
    <cellStyle name="差 4 2 2" xfId="1189"/>
    <cellStyle name="差 4 2 3" xfId="1190"/>
    <cellStyle name="差 4 2 4" xfId="1191"/>
    <cellStyle name="差 4 3" xfId="1192"/>
    <cellStyle name="差 4 3 2" xfId="1193"/>
    <cellStyle name="差 4 3 3" xfId="1194"/>
    <cellStyle name="差 4 3 4" xfId="1195"/>
    <cellStyle name="差 4 4" xfId="1196"/>
    <cellStyle name="差 4 4 2" xfId="1197"/>
    <cellStyle name="差 4 4 3" xfId="1198"/>
    <cellStyle name="差 4 4 4" xfId="1199"/>
    <cellStyle name="差 4 5" xfId="1200"/>
    <cellStyle name="差 4 6" xfId="1201"/>
    <cellStyle name="差 4 7" xfId="1202"/>
    <cellStyle name="差_第五联发票格式" xfId="1203"/>
    <cellStyle name="差_第五联发票格式 2" xfId="1204"/>
    <cellStyle name="差_第五联发票格式 2 2" xfId="1205"/>
    <cellStyle name="差_第五联发票格式 2 3" xfId="1206"/>
    <cellStyle name="差_第五联发票格式 2 4" xfId="1207"/>
    <cellStyle name="差_第五联发票格式 3" xfId="1208"/>
    <cellStyle name="差_第五联发票格式 3 2" xfId="1209"/>
    <cellStyle name="差_第五联发票格式 3 3" xfId="1210"/>
    <cellStyle name="差_第五联发票格式 3 4" xfId="1211"/>
    <cellStyle name="差_第五联发票格式 4" xfId="1212"/>
    <cellStyle name="差_第五联发票格式 4 2" xfId="1213"/>
    <cellStyle name="差_第五联发票格式 4 3" xfId="1214"/>
    <cellStyle name="差_第五联发票格式 4 4" xfId="1215"/>
    <cellStyle name="差_第五联发票格式 5" xfId="1216"/>
    <cellStyle name="差_第五联发票格式 6" xfId="1217"/>
    <cellStyle name="差_第五联发票格式 7" xfId="1218"/>
    <cellStyle name="常规 10" xfId="1219"/>
    <cellStyle name="常规 10 2" xfId="1220"/>
    <cellStyle name="常规 10 3" xfId="1221"/>
    <cellStyle name="常规 10 4" xfId="1222"/>
    <cellStyle name="常规 12" xfId="1223"/>
    <cellStyle name="常规 13" xfId="1224"/>
    <cellStyle name="常规 14" xfId="1225"/>
    <cellStyle name="常规 2" xfId="1226"/>
    <cellStyle name="常规 2 10" xfId="1227"/>
    <cellStyle name="常规 2 11" xfId="1228"/>
    <cellStyle name="常规 2 2" xfId="1229"/>
    <cellStyle name="常规 2 2 10" xfId="1230"/>
    <cellStyle name="常规 2 2 2" xfId="1231"/>
    <cellStyle name="常规 2 2 2 2" xfId="1232"/>
    <cellStyle name="常规 2 2 2 2 2" xfId="1233"/>
    <cellStyle name="常规 2 2 2 3" xfId="1234"/>
    <cellStyle name="常规 2 2 2 3 2" xfId="1235"/>
    <cellStyle name="常规 2 2 2 4" xfId="1236"/>
    <cellStyle name="常规 2 2 2 5" xfId="1237"/>
    <cellStyle name="常规 2 2 3" xfId="1238"/>
    <cellStyle name="常规 2 2 3 2" xfId="1239"/>
    <cellStyle name="常规 2 2 3 2 2" xfId="1240"/>
    <cellStyle name="常规 2 2 3 3" xfId="1241"/>
    <cellStyle name="常规 2 2 3 3 2" xfId="1242"/>
    <cellStyle name="常规 2 2 3 4" xfId="1243"/>
    <cellStyle name="常规 2 2 3 5" xfId="1244"/>
    <cellStyle name="常规 2 2 4" xfId="1245"/>
    <cellStyle name="常规 2 2 4 2" xfId="1246"/>
    <cellStyle name="常规 2 2 4 3" xfId="1247"/>
    <cellStyle name="常规 2 2 5" xfId="1248"/>
    <cellStyle name="常规 2 2 5 2" xfId="1249"/>
    <cellStyle name="常规 2 2 6" xfId="1250"/>
    <cellStyle name="常规 2 2 6 2" xfId="1251"/>
    <cellStyle name="常规 2 2 7" xfId="1252"/>
    <cellStyle name="常规 2 2 7 2" xfId="1253"/>
    <cellStyle name="常规 2 2 8" xfId="1254"/>
    <cellStyle name="常规 2 2 8 2" xfId="1255"/>
    <cellStyle name="常规 2 2 9" xfId="1256"/>
    <cellStyle name="常规 2 3" xfId="1257"/>
    <cellStyle name="常规 2 3 2" xfId="1258"/>
    <cellStyle name="常规 2 3 2 2" xfId="1259"/>
    <cellStyle name="常规 2 3 2 3" xfId="1260"/>
    <cellStyle name="常规 2 3 3" xfId="1261"/>
    <cellStyle name="常规 2 3 3 2" xfId="1262"/>
    <cellStyle name="常规 2 3 3 3" xfId="1263"/>
    <cellStyle name="常规 2 3 4" xfId="1264"/>
    <cellStyle name="常规 2 3 4 2" xfId="1265"/>
    <cellStyle name="常规 2 3 5" xfId="1266"/>
    <cellStyle name="常规 2 4" xfId="1267"/>
    <cellStyle name="常规 2 4 2" xfId="1268"/>
    <cellStyle name="常规 2 4 2 2" xfId="1269"/>
    <cellStyle name="常规 2 4 2 3" xfId="1270"/>
    <cellStyle name="常规 2 4 3" xfId="1271"/>
    <cellStyle name="常规 2 4 3 2" xfId="1272"/>
    <cellStyle name="常规 2 4 3 3" xfId="1273"/>
    <cellStyle name="常规 2 4 4" xfId="1274"/>
    <cellStyle name="常规 2 4 4 2" xfId="1275"/>
    <cellStyle name="常规 2 4 5" xfId="1276"/>
    <cellStyle name="常规 2 5" xfId="1277"/>
    <cellStyle name="常规 2 5 2" xfId="1278"/>
    <cellStyle name="常规 2 6" xfId="1279"/>
    <cellStyle name="常规 2 6 2" xfId="1280"/>
    <cellStyle name="常规 2 7" xfId="1281"/>
    <cellStyle name="常规 2 7 2" xfId="1282"/>
    <cellStyle name="常规 2 8" xfId="1283"/>
    <cellStyle name="常规 2 8 2" xfId="1284"/>
    <cellStyle name="常规 2 9" xfId="1285"/>
    <cellStyle name="常规 2 9 2" xfId="1286"/>
    <cellStyle name="常规 3" xfId="1287"/>
    <cellStyle name="常规 3 2" xfId="1288"/>
    <cellStyle name="常规 3 2 2" xfId="1289"/>
    <cellStyle name="常规 3 2 3" xfId="1290"/>
    <cellStyle name="常规 3 3" xfId="1291"/>
    <cellStyle name="常规 3 3 2" xfId="1292"/>
    <cellStyle name="常规 3 4" xfId="1293"/>
    <cellStyle name="常规 4" xfId="1294"/>
    <cellStyle name="常规 4 10" xfId="1295"/>
    <cellStyle name="常规 4 11" xfId="1296"/>
    <cellStyle name="常规 4 2" xfId="1297"/>
    <cellStyle name="常规 4 2 2" xfId="1298"/>
    <cellStyle name="常规 4 2 2 2" xfId="1299"/>
    <cellStyle name="常规 4 2 2 2 2" xfId="1300"/>
    <cellStyle name="常规 4 2 2 3" xfId="1301"/>
    <cellStyle name="常规 4 2 2 3 2" xfId="1302"/>
    <cellStyle name="常规 4 2 2 4" xfId="1303"/>
    <cellStyle name="常规 4 2 3" xfId="1304"/>
    <cellStyle name="常规 4 2 3 2" xfId="1305"/>
    <cellStyle name="常规 4 2 3 2 2" xfId="1306"/>
    <cellStyle name="常规 4 2 3 3" xfId="1307"/>
    <cellStyle name="常规 4 2 3 3 2" xfId="1308"/>
    <cellStyle name="常规 4 2 3 4" xfId="1309"/>
    <cellStyle name="常规 4 2 4" xfId="1310"/>
    <cellStyle name="常规 4 2 4 2" xfId="1311"/>
    <cellStyle name="常规 4 2 5" xfId="1312"/>
    <cellStyle name="常规 4 2 5 2" xfId="1313"/>
    <cellStyle name="常规 4 2 6" xfId="1314"/>
    <cellStyle name="常规 4 2 6 2" xfId="1315"/>
    <cellStyle name="常规 4 2 7" xfId="1316"/>
    <cellStyle name="常规 4 2 7 2" xfId="1317"/>
    <cellStyle name="常规 4 2 8" xfId="1318"/>
    <cellStyle name="常规 4 2 8 2" xfId="1319"/>
    <cellStyle name="常规 4 2 9" xfId="1320"/>
    <cellStyle name="常规 4 3" xfId="1321"/>
    <cellStyle name="常规 4 3 2" xfId="1322"/>
    <cellStyle name="常规 4 3 2 2" xfId="1323"/>
    <cellStyle name="常规 4 3 3" xfId="1324"/>
    <cellStyle name="常规 4 3 3 2" xfId="1325"/>
    <cellStyle name="常规 4 3 4" xfId="1326"/>
    <cellStyle name="常规 4 4" xfId="1327"/>
    <cellStyle name="常规 4 4 2" xfId="1328"/>
    <cellStyle name="常规 4 4 2 2" xfId="1329"/>
    <cellStyle name="常规 4 4 3" xfId="1330"/>
    <cellStyle name="常规 4 4 3 2" xfId="1331"/>
    <cellStyle name="常规 4 4 4" xfId="1332"/>
    <cellStyle name="常规 4 5" xfId="1333"/>
    <cellStyle name="常规 4 5 2" xfId="1334"/>
    <cellStyle name="常规 4 6" xfId="1335"/>
    <cellStyle name="常规 4 6 2" xfId="1336"/>
    <cellStyle name="常规 4 7" xfId="1337"/>
    <cellStyle name="常规 4 7 2" xfId="1338"/>
    <cellStyle name="常规 4 8" xfId="1339"/>
    <cellStyle name="常规 4 8 2" xfId="1340"/>
    <cellStyle name="常规 4 9" xfId="1341"/>
    <cellStyle name="常规 4 9 2" xfId="1342"/>
    <cellStyle name="常规 5" xfId="1343"/>
    <cellStyle name="常规 5 2" xfId="1344"/>
    <cellStyle name="常规 5 2 2" xfId="1345"/>
    <cellStyle name="常规 5 2 2 2" xfId="1346"/>
    <cellStyle name="常规 5 2 3" xfId="1347"/>
    <cellStyle name="常规 5 2 3 2" xfId="1348"/>
    <cellStyle name="常规 5 2 4" xfId="1349"/>
    <cellStyle name="常规 5 3" xfId="1350"/>
    <cellStyle name="常规 5 3 2" xfId="1351"/>
    <cellStyle name="常规 5 4" xfId="1352"/>
    <cellStyle name="常规 5 4 2" xfId="1353"/>
    <cellStyle name="常规 5 5" xfId="1354"/>
    <cellStyle name="常规 5 5 2" xfId="1355"/>
    <cellStyle name="常规 5 6" xfId="1356"/>
    <cellStyle name="常规 5 6 2" xfId="1357"/>
    <cellStyle name="常规 5 7" xfId="1358"/>
    <cellStyle name="常规 5 7 2" xfId="1359"/>
    <cellStyle name="常规 5 8" xfId="1360"/>
    <cellStyle name="常规 5 9" xfId="1361"/>
    <cellStyle name="常规 6" xfId="1362"/>
    <cellStyle name="常规 6 2" xfId="1363"/>
    <cellStyle name="常规 6 2 2" xfId="1364"/>
    <cellStyle name="常规 6 2 3" xfId="1365"/>
    <cellStyle name="常规 6 3" xfId="1366"/>
    <cellStyle name="常规 6 3 2" xfId="1367"/>
    <cellStyle name="常规 6 3 3" xfId="1368"/>
    <cellStyle name="常规 6 4" xfId="1369"/>
    <cellStyle name="常规 6 4 2" xfId="1370"/>
    <cellStyle name="常规 6 4 3" xfId="1371"/>
    <cellStyle name="常规 6 5" xfId="1372"/>
    <cellStyle name="常规 6 5 2" xfId="1373"/>
    <cellStyle name="常规 7" xfId="1374"/>
    <cellStyle name="常规 7 2" xfId="1375"/>
    <cellStyle name="常规 7 2 2" xfId="1376"/>
    <cellStyle name="常规 7 2 3" xfId="1377"/>
    <cellStyle name="常规 7 3" xfId="1378"/>
    <cellStyle name="常规 7 3 2" xfId="1379"/>
    <cellStyle name="常规 7 4" xfId="1380"/>
    <cellStyle name="常规 7 5" xfId="1381"/>
    <cellStyle name="常规 8 2" xfId="1382"/>
    <cellStyle name="常规 8 2 2" xfId="1383"/>
    <cellStyle name="常规 8 3" xfId="1384"/>
    <cellStyle name="常规 8 4" xfId="1385"/>
    <cellStyle name="常规 8 5" xfId="1386"/>
    <cellStyle name="常规 9" xfId="1387"/>
    <cellStyle name="常规 9 2" xfId="1388"/>
    <cellStyle name="常规 9 3" xfId="1389"/>
    <cellStyle name="好 2" xfId="1390"/>
    <cellStyle name="好 2 2" xfId="1391"/>
    <cellStyle name="好 2 2 2" xfId="1392"/>
    <cellStyle name="好 2 2 3" xfId="1393"/>
    <cellStyle name="好 2 2 4" xfId="1394"/>
    <cellStyle name="好 2 3" xfId="1395"/>
    <cellStyle name="好 2 3 2" xfId="1396"/>
    <cellStyle name="好 2 3 3" xfId="1397"/>
    <cellStyle name="好 2 3 4" xfId="1398"/>
    <cellStyle name="好 2 4" xfId="1399"/>
    <cellStyle name="好 2 4 2" xfId="1400"/>
    <cellStyle name="好 2 4 3" xfId="1401"/>
    <cellStyle name="好 2 4 4" xfId="1402"/>
    <cellStyle name="好 2 5" xfId="1403"/>
    <cellStyle name="好 2 6" xfId="1404"/>
    <cellStyle name="好 2 7" xfId="1405"/>
    <cellStyle name="好 3" xfId="1406"/>
    <cellStyle name="好 3 2" xfId="1407"/>
    <cellStyle name="好 3 2 2" xfId="1408"/>
    <cellStyle name="好 3 2 3" xfId="1409"/>
    <cellStyle name="好 3 2 4" xfId="1410"/>
    <cellStyle name="好 3 3" xfId="1411"/>
    <cellStyle name="好 3 3 2" xfId="1412"/>
    <cellStyle name="好 3 3 3" xfId="1413"/>
    <cellStyle name="好 3 3 4" xfId="1414"/>
    <cellStyle name="好 3 4" xfId="1415"/>
    <cellStyle name="好 3 4 2" xfId="1416"/>
    <cellStyle name="好 3 4 3" xfId="1417"/>
    <cellStyle name="好 3 4 4" xfId="1418"/>
    <cellStyle name="好 3 5" xfId="1419"/>
    <cellStyle name="好 3 6" xfId="1420"/>
    <cellStyle name="好 3 7" xfId="1421"/>
    <cellStyle name="好 4" xfId="1422"/>
    <cellStyle name="好 4 2" xfId="1423"/>
    <cellStyle name="好 4 2 2" xfId="1424"/>
    <cellStyle name="好 4 2 3" xfId="1425"/>
    <cellStyle name="好 4 2 4" xfId="1426"/>
    <cellStyle name="好 4 3" xfId="1427"/>
    <cellStyle name="好 4 3 2" xfId="1428"/>
    <cellStyle name="好 4 3 3" xfId="1429"/>
    <cellStyle name="好 4 3 4" xfId="1430"/>
    <cellStyle name="好 4 4" xfId="1431"/>
    <cellStyle name="好 4 4 2" xfId="1432"/>
    <cellStyle name="好 4 4 3" xfId="1433"/>
    <cellStyle name="好 4 4 4" xfId="1434"/>
    <cellStyle name="好 4 5" xfId="1435"/>
    <cellStyle name="好 4 6" xfId="1436"/>
    <cellStyle name="好 4 7" xfId="1437"/>
    <cellStyle name="好_第五联发票格式" xfId="1438"/>
    <cellStyle name="好_第五联发票格式 2" xfId="1439"/>
    <cellStyle name="好_第五联发票格式 2 2" xfId="1440"/>
    <cellStyle name="好_第五联发票格式 2 3" xfId="1441"/>
    <cellStyle name="好_第五联发票格式 2 4" xfId="1442"/>
    <cellStyle name="好_第五联发票格式 3" xfId="1443"/>
    <cellStyle name="好_第五联发票格式 3 2" xfId="1444"/>
    <cellStyle name="好_第五联发票格式 3 3" xfId="1445"/>
    <cellStyle name="好_第五联发票格式 3 4" xfId="1446"/>
    <cellStyle name="好_第五联发票格式 4" xfId="1447"/>
    <cellStyle name="好_第五联发票格式 4 2" xfId="1448"/>
    <cellStyle name="好_第五联发票格式 4 3" xfId="1449"/>
    <cellStyle name="好_第五联发票格式 4 4" xfId="1450"/>
    <cellStyle name="好_第五联发票格式 5" xfId="1451"/>
    <cellStyle name="好_第五联发票格式 6" xfId="1452"/>
    <cellStyle name="好_第五联发票格式 7" xfId="1453"/>
    <cellStyle name="汇总 2" xfId="1454"/>
    <cellStyle name="汇总 2 2" xfId="1455"/>
    <cellStyle name="汇总 2 2 2" xfId="1456"/>
    <cellStyle name="汇总 2 2 3" xfId="1457"/>
    <cellStyle name="汇总 2 2 4" xfId="1458"/>
    <cellStyle name="汇总 2 3" xfId="1459"/>
    <cellStyle name="汇总 2 3 2" xfId="1460"/>
    <cellStyle name="汇总 2 3 3" xfId="1461"/>
    <cellStyle name="汇总 2 3 4" xfId="1462"/>
    <cellStyle name="汇总 2 4" xfId="1463"/>
    <cellStyle name="汇总 2 4 2" xfId="1464"/>
    <cellStyle name="汇总 2 4 3" xfId="1465"/>
    <cellStyle name="汇总 2 4 4" xfId="1466"/>
    <cellStyle name="汇总 2 5" xfId="1467"/>
    <cellStyle name="汇总 2 6" xfId="1468"/>
    <cellStyle name="汇总 2 7" xfId="1469"/>
    <cellStyle name="汇总 3" xfId="1470"/>
    <cellStyle name="汇总 3 2" xfId="1471"/>
    <cellStyle name="汇总 3 2 2" xfId="1472"/>
    <cellStyle name="汇总 3 2 3" xfId="1473"/>
    <cellStyle name="汇总 3 2 4" xfId="1474"/>
    <cellStyle name="汇总 3 3" xfId="1475"/>
    <cellStyle name="汇总 3 3 2" xfId="1476"/>
    <cellStyle name="汇总 3 3 3" xfId="1477"/>
    <cellStyle name="汇总 3 3 4" xfId="1478"/>
    <cellStyle name="汇总 3 4" xfId="1479"/>
    <cellStyle name="汇总 3 4 2" xfId="1480"/>
    <cellStyle name="汇总 3 4 3" xfId="1481"/>
    <cellStyle name="汇总 3 4 4" xfId="1482"/>
    <cellStyle name="汇总 3 5" xfId="1483"/>
    <cellStyle name="汇总 3 6" xfId="1484"/>
    <cellStyle name="汇总 3 7" xfId="1485"/>
    <cellStyle name="汇总 4" xfId="1486"/>
    <cellStyle name="汇总 4 2" xfId="1487"/>
    <cellStyle name="汇总 4 2 2" xfId="1488"/>
    <cellStyle name="汇总 4 2 3" xfId="1489"/>
    <cellStyle name="汇总 4 2 4" xfId="1490"/>
    <cellStyle name="汇总 4 3" xfId="1491"/>
    <cellStyle name="汇总 4 3 2" xfId="1492"/>
    <cellStyle name="汇总 4 3 3" xfId="1493"/>
    <cellStyle name="汇总 4 3 4" xfId="1494"/>
    <cellStyle name="汇总 4 4" xfId="1495"/>
    <cellStyle name="汇总 4 4 2" xfId="1496"/>
    <cellStyle name="汇总 4 4 3" xfId="1497"/>
    <cellStyle name="汇总 4 4 4" xfId="1498"/>
    <cellStyle name="汇总 4 5" xfId="1499"/>
    <cellStyle name="汇总 4 6" xfId="1500"/>
    <cellStyle name="汇总 4 7" xfId="1501"/>
    <cellStyle name="计算 2" xfId="1502"/>
    <cellStyle name="计算 2 2" xfId="1503"/>
    <cellStyle name="计算 2 2 2" xfId="1504"/>
    <cellStyle name="计算 2 2 3" xfId="1505"/>
    <cellStyle name="计算 2 2 4" xfId="1506"/>
    <cellStyle name="计算 2 3" xfId="1507"/>
    <cellStyle name="计算 2 3 2" xfId="1508"/>
    <cellStyle name="计算 2 3 3" xfId="1509"/>
    <cellStyle name="计算 2 3 4" xfId="1510"/>
    <cellStyle name="计算 2 4" xfId="1511"/>
    <cellStyle name="计算 2 4 2" xfId="1512"/>
    <cellStyle name="计算 2 4 3" xfId="1513"/>
    <cellStyle name="计算 2 4 4" xfId="1514"/>
    <cellStyle name="计算 2 5" xfId="1515"/>
    <cellStyle name="计算 2 6" xfId="1516"/>
    <cellStyle name="计算 2 7" xfId="1517"/>
    <cellStyle name="计算 3" xfId="1518"/>
    <cellStyle name="计算 3 2" xfId="1519"/>
    <cellStyle name="计算 3 2 2" xfId="1520"/>
    <cellStyle name="计算 3 2 3" xfId="1521"/>
    <cellStyle name="计算 3 2 4" xfId="1522"/>
    <cellStyle name="计算 3 3" xfId="1523"/>
    <cellStyle name="计算 3 3 2" xfId="1524"/>
    <cellStyle name="计算 3 3 3" xfId="1525"/>
    <cellStyle name="计算 3 3 4" xfId="1526"/>
    <cellStyle name="计算 3 4" xfId="1527"/>
    <cellStyle name="计算 3 4 2" xfId="1528"/>
    <cellStyle name="计算 3 4 3" xfId="1529"/>
    <cellStyle name="计算 3 4 4" xfId="1530"/>
    <cellStyle name="计算 3 5" xfId="1531"/>
    <cellStyle name="计算 3 6" xfId="1532"/>
    <cellStyle name="计算 3 7" xfId="1533"/>
    <cellStyle name="计算 4" xfId="1534"/>
    <cellStyle name="计算 4 2" xfId="1535"/>
    <cellStyle name="计算 4 2 2" xfId="1536"/>
    <cellStyle name="计算 4 2 3" xfId="1537"/>
    <cellStyle name="计算 4 2 4" xfId="1538"/>
    <cellStyle name="计算 4 3" xfId="1539"/>
    <cellStyle name="计算 4 3 2" xfId="1540"/>
    <cellStyle name="计算 4 3 3" xfId="1541"/>
    <cellStyle name="计算 4 3 4" xfId="1542"/>
    <cellStyle name="计算 4 4" xfId="1543"/>
    <cellStyle name="计算 4 4 2" xfId="1544"/>
    <cellStyle name="计算 4 4 3" xfId="1545"/>
    <cellStyle name="计算 4 4 4" xfId="1546"/>
    <cellStyle name="计算 4 5" xfId="1547"/>
    <cellStyle name="计算 4 6" xfId="1548"/>
    <cellStyle name="计算 4 7" xfId="1549"/>
    <cellStyle name="检查单元格 2" xfId="1550"/>
    <cellStyle name="检查单元格 2 2" xfId="1551"/>
    <cellStyle name="检查单元格 2 2 2" xfId="1552"/>
    <cellStyle name="检查单元格 2 2 3" xfId="1553"/>
    <cellStyle name="检查单元格 2 2 4" xfId="1554"/>
    <cellStyle name="检查单元格 2 3" xfId="1555"/>
    <cellStyle name="检查单元格 2 3 2" xfId="1556"/>
    <cellStyle name="检查单元格 2 3 3" xfId="1557"/>
    <cellStyle name="检查单元格 2 3 4" xfId="1558"/>
    <cellStyle name="检查单元格 2 4" xfId="1559"/>
    <cellStyle name="检查单元格 2 4 2" xfId="1560"/>
    <cellStyle name="检查单元格 2 4 3" xfId="1561"/>
    <cellStyle name="检查单元格 2 4 4" xfId="1562"/>
    <cellStyle name="检查单元格 2 5" xfId="1563"/>
    <cellStyle name="检查单元格 2 6" xfId="1564"/>
    <cellStyle name="检查单元格 2 7" xfId="1565"/>
    <cellStyle name="检查单元格 3" xfId="1566"/>
    <cellStyle name="检查单元格 3 2" xfId="1567"/>
    <cellStyle name="检查单元格 3 2 2" xfId="1568"/>
    <cellStyle name="检查单元格 3 2 3" xfId="1569"/>
    <cellStyle name="检查单元格 3 2 4" xfId="1570"/>
    <cellStyle name="检查单元格 3 3" xfId="1571"/>
    <cellStyle name="检查单元格 3 3 2" xfId="1572"/>
    <cellStyle name="检查单元格 3 3 3" xfId="1573"/>
    <cellStyle name="检查单元格 3 3 4" xfId="1574"/>
    <cellStyle name="检查单元格 3 4" xfId="1575"/>
    <cellStyle name="检查单元格 3 4 2" xfId="1576"/>
    <cellStyle name="检查单元格 3 4 3" xfId="1577"/>
    <cellStyle name="检查单元格 3 4 4" xfId="1578"/>
    <cellStyle name="检查单元格 3 5" xfId="1579"/>
    <cellStyle name="检查单元格 3 6" xfId="1580"/>
    <cellStyle name="检查单元格 3 7" xfId="1581"/>
    <cellStyle name="检查单元格 4" xfId="1582"/>
    <cellStyle name="检查单元格 4 2" xfId="1583"/>
    <cellStyle name="检查单元格 4 2 2" xfId="1584"/>
    <cellStyle name="检查单元格 4 2 3" xfId="1585"/>
    <cellStyle name="检查单元格 4 2 4" xfId="1586"/>
    <cellStyle name="检查单元格 4 3" xfId="1587"/>
    <cellStyle name="检查单元格 4 3 2" xfId="1588"/>
    <cellStyle name="检查单元格 4 3 3" xfId="1589"/>
    <cellStyle name="检查单元格 4 3 4" xfId="1590"/>
    <cellStyle name="检查单元格 4 4" xfId="1591"/>
    <cellStyle name="检查单元格 4 4 2" xfId="1592"/>
    <cellStyle name="检查单元格 4 4 3" xfId="1593"/>
    <cellStyle name="检查单元格 4 4 4" xfId="1594"/>
    <cellStyle name="检查单元格 4 5" xfId="1595"/>
    <cellStyle name="检查单元格 4 6" xfId="1596"/>
    <cellStyle name="检查单元格 4 7" xfId="1597"/>
    <cellStyle name="解释性文本 2" xfId="1598"/>
    <cellStyle name="解释性文本 2 2" xfId="1599"/>
    <cellStyle name="解释性文本 2 2 2" xfId="1600"/>
    <cellStyle name="解释性文本 2 2 3" xfId="1601"/>
    <cellStyle name="解释性文本 2 2 4" xfId="1602"/>
    <cellStyle name="解释性文本 2 3" xfId="1603"/>
    <cellStyle name="解释性文本 2 3 2" xfId="1604"/>
    <cellStyle name="解释性文本 2 3 3" xfId="1605"/>
    <cellStyle name="解释性文本 2 3 4" xfId="1606"/>
    <cellStyle name="解释性文本 2 4" xfId="1607"/>
    <cellStyle name="解释性文本 2 4 2" xfId="1608"/>
    <cellStyle name="解释性文本 2 4 3" xfId="1609"/>
    <cellStyle name="解释性文本 2 4 4" xfId="1610"/>
    <cellStyle name="解释性文本 2 5" xfId="1611"/>
    <cellStyle name="解释性文本 2 6" xfId="1612"/>
    <cellStyle name="解释性文本 2 7" xfId="1613"/>
    <cellStyle name="解释性文本 3" xfId="1614"/>
    <cellStyle name="解释性文本 3 2" xfId="1615"/>
    <cellStyle name="解释性文本 3 2 2" xfId="1616"/>
    <cellStyle name="解释性文本 3 2 3" xfId="1617"/>
    <cellStyle name="解释性文本 3 2 4" xfId="1618"/>
    <cellStyle name="解释性文本 3 3" xfId="1619"/>
    <cellStyle name="解释性文本 3 3 2" xfId="1620"/>
    <cellStyle name="解释性文本 3 3 3" xfId="1621"/>
    <cellStyle name="解释性文本 3 3 4" xfId="1622"/>
    <cellStyle name="解释性文本 3 4" xfId="1623"/>
    <cellStyle name="解释性文本 3 4 2" xfId="1624"/>
    <cellStyle name="解释性文本 3 4 3" xfId="1625"/>
    <cellStyle name="解释性文本 3 4 4" xfId="1626"/>
    <cellStyle name="解释性文本 3 5" xfId="1627"/>
    <cellStyle name="解释性文本 3 6" xfId="1628"/>
    <cellStyle name="解释性文本 3 7" xfId="1629"/>
    <cellStyle name="解释性文本 4" xfId="1630"/>
    <cellStyle name="解释性文本 4 2" xfId="1631"/>
    <cellStyle name="解释性文本 4 2 2" xfId="1632"/>
    <cellStyle name="解释性文本 4 2 3" xfId="1633"/>
    <cellStyle name="解释性文本 4 2 4" xfId="1634"/>
    <cellStyle name="解释性文本 4 3" xfId="1635"/>
    <cellStyle name="解释性文本 4 3 2" xfId="1636"/>
    <cellStyle name="解释性文本 4 3 3" xfId="1637"/>
    <cellStyle name="解释性文本 4 3 4" xfId="1638"/>
    <cellStyle name="解释性文本 4 4" xfId="1639"/>
    <cellStyle name="解释性文本 4 4 2" xfId="1640"/>
    <cellStyle name="解释性文本 4 4 3" xfId="1641"/>
    <cellStyle name="解释性文本 4 4 4" xfId="1642"/>
    <cellStyle name="解释性文本 4 5" xfId="1643"/>
    <cellStyle name="解释性文本 4 6" xfId="1644"/>
    <cellStyle name="解释性文本 4 7" xfId="1645"/>
    <cellStyle name="警告文本 2" xfId="1646"/>
    <cellStyle name="警告文本 2 2" xfId="1647"/>
    <cellStyle name="警告文本 2 2 2" xfId="1648"/>
    <cellStyle name="警告文本 2 2 3" xfId="1649"/>
    <cellStyle name="警告文本 2 2 4" xfId="1650"/>
    <cellStyle name="警告文本 2 3" xfId="1651"/>
    <cellStyle name="警告文本 2 3 2" xfId="1652"/>
    <cellStyle name="警告文本 2 3 3" xfId="1653"/>
    <cellStyle name="警告文本 2 3 4" xfId="1654"/>
    <cellStyle name="警告文本 2 4" xfId="1655"/>
    <cellStyle name="警告文本 2 4 2" xfId="1656"/>
    <cellStyle name="警告文本 2 4 3" xfId="1657"/>
    <cellStyle name="警告文本 2 4 4" xfId="1658"/>
    <cellStyle name="警告文本 2 5" xfId="1659"/>
    <cellStyle name="警告文本 2 6" xfId="1660"/>
    <cellStyle name="警告文本 2 7" xfId="1661"/>
    <cellStyle name="警告文本 3" xfId="1662"/>
    <cellStyle name="警告文本 3 2" xfId="1663"/>
    <cellStyle name="警告文本 3 2 2" xfId="1664"/>
    <cellStyle name="警告文本 3 2 3" xfId="1665"/>
    <cellStyle name="警告文本 3 2 4" xfId="1666"/>
    <cellStyle name="警告文本 3 3" xfId="1667"/>
    <cellStyle name="警告文本 3 3 2" xfId="1668"/>
    <cellStyle name="警告文本 3 3 3" xfId="1669"/>
    <cellStyle name="警告文本 3 3 4" xfId="1670"/>
    <cellStyle name="警告文本 3 4" xfId="1671"/>
    <cellStyle name="警告文本 3 4 2" xfId="1672"/>
    <cellStyle name="警告文本 3 4 3" xfId="1673"/>
    <cellStyle name="警告文本 3 4 4" xfId="1674"/>
    <cellStyle name="警告文本 3 5" xfId="1675"/>
    <cellStyle name="警告文本 3 6" xfId="1676"/>
    <cellStyle name="警告文本 3 7" xfId="1677"/>
    <cellStyle name="警告文本 4" xfId="1678"/>
    <cellStyle name="警告文本 4 2" xfId="1679"/>
    <cellStyle name="警告文本 4 2 2" xfId="1680"/>
    <cellStyle name="警告文本 4 2 3" xfId="1681"/>
    <cellStyle name="警告文本 4 2 4" xfId="1682"/>
    <cellStyle name="警告文本 4 3" xfId="1683"/>
    <cellStyle name="警告文本 4 3 2" xfId="1684"/>
    <cellStyle name="警告文本 4 3 3" xfId="1685"/>
    <cellStyle name="警告文本 4 3 4" xfId="1686"/>
    <cellStyle name="警告文本 4 4" xfId="1687"/>
    <cellStyle name="警告文本 4 4 2" xfId="1688"/>
    <cellStyle name="警告文本 4 4 3" xfId="1689"/>
    <cellStyle name="警告文本 4 4 4" xfId="1690"/>
    <cellStyle name="警告文本 4 5" xfId="1691"/>
    <cellStyle name="警告文本 4 6" xfId="1692"/>
    <cellStyle name="警告文本 4 7" xfId="1693"/>
    <cellStyle name="链接单元格 2" xfId="1694"/>
    <cellStyle name="链接单元格 2 2" xfId="1695"/>
    <cellStyle name="链接单元格 2 2 2" xfId="1696"/>
    <cellStyle name="链接单元格 2 2 3" xfId="1697"/>
    <cellStyle name="链接单元格 2 2 4" xfId="1698"/>
    <cellStyle name="链接单元格 2 3" xfId="1699"/>
    <cellStyle name="链接单元格 2 3 2" xfId="1700"/>
    <cellStyle name="链接单元格 2 3 3" xfId="1701"/>
    <cellStyle name="链接单元格 2 3 4" xfId="1702"/>
    <cellStyle name="链接单元格 2 4" xfId="1703"/>
    <cellStyle name="链接单元格 2 4 2" xfId="1704"/>
    <cellStyle name="链接单元格 2 4 3" xfId="1705"/>
    <cellStyle name="链接单元格 2 4 4" xfId="1706"/>
    <cellStyle name="链接单元格 2 5" xfId="1707"/>
    <cellStyle name="链接单元格 2 6" xfId="1708"/>
    <cellStyle name="链接单元格 2 7" xfId="1709"/>
    <cellStyle name="链接单元格 3" xfId="1710"/>
    <cellStyle name="链接单元格 3 2" xfId="1711"/>
    <cellStyle name="链接单元格 3 2 2" xfId="1712"/>
    <cellStyle name="链接单元格 3 2 3" xfId="1713"/>
    <cellStyle name="链接单元格 3 2 4" xfId="1714"/>
    <cellStyle name="链接单元格 3 3" xfId="1715"/>
    <cellStyle name="链接单元格 3 3 2" xfId="1716"/>
    <cellStyle name="链接单元格 3 3 3" xfId="1717"/>
    <cellStyle name="链接单元格 3 3 4" xfId="1718"/>
    <cellStyle name="链接单元格 3 4" xfId="1719"/>
    <cellStyle name="链接单元格 3 4 2" xfId="1720"/>
    <cellStyle name="链接单元格 3 4 3" xfId="1721"/>
    <cellStyle name="链接单元格 3 4 4" xfId="1722"/>
    <cellStyle name="链接单元格 3 5" xfId="1723"/>
    <cellStyle name="链接单元格 3 6" xfId="1724"/>
    <cellStyle name="链接单元格 3 7" xfId="1725"/>
    <cellStyle name="链接单元格 4" xfId="1726"/>
    <cellStyle name="链接单元格 4 2" xfId="1727"/>
    <cellStyle name="链接单元格 4 2 2" xfId="1728"/>
    <cellStyle name="链接单元格 4 2 3" xfId="1729"/>
    <cellStyle name="链接单元格 4 2 4" xfId="1730"/>
    <cellStyle name="链接单元格 4 3" xfId="1731"/>
    <cellStyle name="链接单元格 4 3 2" xfId="1732"/>
    <cellStyle name="链接单元格 4 3 3" xfId="1733"/>
    <cellStyle name="链接单元格 4 3 4" xfId="1734"/>
    <cellStyle name="链接单元格 4 4" xfId="1735"/>
    <cellStyle name="链接单元格 4 4 2" xfId="1736"/>
    <cellStyle name="链接单元格 4 4 3" xfId="1737"/>
    <cellStyle name="链接单元格 4 4 4" xfId="1738"/>
    <cellStyle name="链接单元格 4 5" xfId="1739"/>
    <cellStyle name="链接单元格 4 6" xfId="1740"/>
    <cellStyle name="链接单元格 4 7" xfId="1741"/>
    <cellStyle name="千位分隔 5" xfId="1742"/>
    <cellStyle name="强调文字颜色 1 2" xfId="1743"/>
    <cellStyle name="强调文字颜色 1 2 2" xfId="1744"/>
    <cellStyle name="强调文字颜色 1 2 2 2" xfId="1745"/>
    <cellStyle name="强调文字颜色 1 2 2 3" xfId="1746"/>
    <cellStyle name="强调文字颜色 1 2 2 4" xfId="1747"/>
    <cellStyle name="强调文字颜色 1 2 3" xfId="1748"/>
    <cellStyle name="强调文字颜色 1 2 3 2" xfId="1749"/>
    <cellStyle name="强调文字颜色 1 2 3 3" xfId="1750"/>
    <cellStyle name="强调文字颜色 1 2 3 4" xfId="1751"/>
    <cellStyle name="强调文字颜色 1 2 4" xfId="1752"/>
    <cellStyle name="强调文字颜色 1 2 4 2" xfId="1753"/>
    <cellStyle name="强调文字颜色 1 2 4 3" xfId="1754"/>
    <cellStyle name="强调文字颜色 1 2 4 4" xfId="1755"/>
    <cellStyle name="强调文字颜色 1 2 5" xfId="1756"/>
    <cellStyle name="强调文字颜色 1 2 6" xfId="1757"/>
    <cellStyle name="强调文字颜色 1 2 7" xfId="1758"/>
    <cellStyle name="强调文字颜色 1 3" xfId="1759"/>
    <cellStyle name="强调文字颜色 1 3 2" xfId="1760"/>
    <cellStyle name="强调文字颜色 1 3 2 2" xfId="1761"/>
    <cellStyle name="强调文字颜色 1 3 2 3" xfId="1762"/>
    <cellStyle name="强调文字颜色 1 3 2 4" xfId="1763"/>
    <cellStyle name="强调文字颜色 1 3 3" xfId="1764"/>
    <cellStyle name="强调文字颜色 1 3 3 2" xfId="1765"/>
    <cellStyle name="强调文字颜色 1 3 3 3" xfId="1766"/>
    <cellStyle name="强调文字颜色 1 3 3 4" xfId="1767"/>
    <cellStyle name="强调文字颜色 1 3 4" xfId="1768"/>
    <cellStyle name="强调文字颜色 1 3 4 2" xfId="1769"/>
    <cellStyle name="强调文字颜色 1 3 4 3" xfId="1770"/>
    <cellStyle name="强调文字颜色 1 3 4 4" xfId="1771"/>
    <cellStyle name="强调文字颜色 1 3 5" xfId="1772"/>
    <cellStyle name="强调文字颜色 1 3 6" xfId="1773"/>
    <cellStyle name="强调文字颜色 1 3 7" xfId="1774"/>
    <cellStyle name="强调文字颜色 1 4" xfId="1775"/>
    <cellStyle name="强调文字颜色 1 4 2" xfId="1776"/>
    <cellStyle name="强调文字颜色 1 4 2 2" xfId="1777"/>
    <cellStyle name="强调文字颜色 1 4 2 3" xfId="1778"/>
    <cellStyle name="强调文字颜色 1 4 2 4" xfId="1779"/>
    <cellStyle name="强调文字颜色 1 4 3" xfId="1780"/>
    <cellStyle name="强调文字颜色 1 4 3 2" xfId="1781"/>
    <cellStyle name="强调文字颜色 1 4 3 3" xfId="1782"/>
    <cellStyle name="强调文字颜色 1 4 3 4" xfId="1783"/>
    <cellStyle name="强调文字颜色 1 4 4" xfId="1784"/>
    <cellStyle name="强调文字颜色 1 4 4 2" xfId="1785"/>
    <cellStyle name="强调文字颜色 1 4 4 3" xfId="1786"/>
    <cellStyle name="强调文字颜色 1 4 4 4" xfId="1787"/>
    <cellStyle name="强调文字颜色 1 4 5" xfId="1788"/>
    <cellStyle name="强调文字颜色 1 4 6" xfId="1789"/>
    <cellStyle name="强调文字颜色 1 4 7" xfId="1790"/>
    <cellStyle name="强调文字颜色 2 2" xfId="1791"/>
    <cellStyle name="强调文字颜色 2 2 2" xfId="1792"/>
    <cellStyle name="强调文字颜色 2 2 2 2" xfId="1793"/>
    <cellStyle name="强调文字颜色 2 2 2 3" xfId="1794"/>
    <cellStyle name="强调文字颜色 2 2 2 4" xfId="1795"/>
    <cellStyle name="强调文字颜色 2 2 3" xfId="1796"/>
    <cellStyle name="强调文字颜色 2 2 3 2" xfId="1797"/>
    <cellStyle name="强调文字颜色 2 2 3 3" xfId="1798"/>
    <cellStyle name="强调文字颜色 2 2 3 4" xfId="1799"/>
    <cellStyle name="强调文字颜色 2 2 4" xfId="1800"/>
    <cellStyle name="强调文字颜色 2 2 4 2" xfId="1801"/>
    <cellStyle name="强调文字颜色 2 2 4 3" xfId="1802"/>
    <cellStyle name="强调文字颜色 2 2 4 4" xfId="1803"/>
    <cellStyle name="强调文字颜色 2 2 5" xfId="1804"/>
    <cellStyle name="强调文字颜色 2 2 6" xfId="1805"/>
    <cellStyle name="强调文字颜色 2 2 7" xfId="1806"/>
    <cellStyle name="强调文字颜色 2 3" xfId="1807"/>
    <cellStyle name="强调文字颜色 2 3 2" xfId="1808"/>
    <cellStyle name="强调文字颜色 2 3 2 2" xfId="1809"/>
    <cellStyle name="强调文字颜色 2 3 2 3" xfId="1810"/>
    <cellStyle name="强调文字颜色 2 3 2 4" xfId="1811"/>
    <cellStyle name="强调文字颜色 2 3 3" xfId="1812"/>
    <cellStyle name="强调文字颜色 2 3 3 2" xfId="1813"/>
    <cellStyle name="强调文字颜色 2 3 3 3" xfId="1814"/>
    <cellStyle name="强调文字颜色 2 3 3 4" xfId="1815"/>
    <cellStyle name="强调文字颜色 2 3 4" xfId="1816"/>
    <cellStyle name="强调文字颜色 2 3 4 2" xfId="1817"/>
    <cellStyle name="强调文字颜色 2 3 4 3" xfId="1818"/>
    <cellStyle name="强调文字颜色 2 3 4 4" xfId="1819"/>
    <cellStyle name="强调文字颜色 2 3 5" xfId="1820"/>
    <cellStyle name="强调文字颜色 2 3 6" xfId="1821"/>
    <cellStyle name="强调文字颜色 2 3 7" xfId="1822"/>
    <cellStyle name="强调文字颜色 2 4" xfId="1823"/>
    <cellStyle name="强调文字颜色 2 4 2" xfId="1824"/>
    <cellStyle name="强调文字颜色 2 4 2 2" xfId="1825"/>
    <cellStyle name="强调文字颜色 2 4 2 3" xfId="1826"/>
    <cellStyle name="强调文字颜色 2 4 2 4" xfId="1827"/>
    <cellStyle name="强调文字颜色 2 4 3" xfId="1828"/>
    <cellStyle name="强调文字颜色 2 4 3 2" xfId="1829"/>
    <cellStyle name="强调文字颜色 2 4 3 3" xfId="1830"/>
    <cellStyle name="强调文字颜色 2 4 3 4" xfId="1831"/>
    <cellStyle name="强调文字颜色 2 4 4" xfId="1832"/>
    <cellStyle name="强调文字颜色 2 4 4 2" xfId="1833"/>
    <cellStyle name="强调文字颜色 2 4 4 3" xfId="1834"/>
    <cellStyle name="强调文字颜色 2 4 4 4" xfId="1835"/>
    <cellStyle name="强调文字颜色 2 4 5" xfId="1836"/>
    <cellStyle name="强调文字颜色 2 4 6" xfId="1837"/>
    <cellStyle name="强调文字颜色 2 4 7" xfId="1838"/>
    <cellStyle name="强调文字颜色 3 2" xfId="1839"/>
    <cellStyle name="强调文字颜色 3 2 2" xfId="1840"/>
    <cellStyle name="强调文字颜色 3 2 2 2" xfId="1841"/>
    <cellStyle name="强调文字颜色 3 2 2 3" xfId="1842"/>
    <cellStyle name="强调文字颜色 3 2 2 4" xfId="1843"/>
    <cellStyle name="强调文字颜色 3 2 3" xfId="1844"/>
    <cellStyle name="强调文字颜色 3 2 3 2" xfId="1845"/>
    <cellStyle name="强调文字颜色 3 2 3 3" xfId="1846"/>
    <cellStyle name="强调文字颜色 3 2 3 4" xfId="1847"/>
    <cellStyle name="强调文字颜色 3 2 4" xfId="1848"/>
    <cellStyle name="强调文字颜色 3 2 4 2" xfId="1849"/>
    <cellStyle name="强调文字颜色 3 2 4 3" xfId="1850"/>
    <cellStyle name="强调文字颜色 3 2 4 4" xfId="1851"/>
    <cellStyle name="强调文字颜色 3 2 5" xfId="1852"/>
    <cellStyle name="强调文字颜色 3 2 6" xfId="1853"/>
    <cellStyle name="强调文字颜色 3 2 7" xfId="1854"/>
    <cellStyle name="强调文字颜色 3 3" xfId="1855"/>
    <cellStyle name="强调文字颜色 3 3 2" xfId="1856"/>
    <cellStyle name="强调文字颜色 3 3 2 2" xfId="1857"/>
    <cellStyle name="强调文字颜色 3 3 2 3" xfId="1858"/>
    <cellStyle name="强调文字颜色 3 3 2 4" xfId="1859"/>
    <cellStyle name="强调文字颜色 3 3 3" xfId="1860"/>
    <cellStyle name="强调文字颜色 3 3 3 2" xfId="1861"/>
    <cellStyle name="强调文字颜色 3 3 3 3" xfId="1862"/>
    <cellStyle name="强调文字颜色 3 3 3 4" xfId="1863"/>
    <cellStyle name="强调文字颜色 3 3 4" xfId="1864"/>
    <cellStyle name="强调文字颜色 3 3 4 2" xfId="1865"/>
    <cellStyle name="强调文字颜色 3 3 4 3" xfId="1866"/>
    <cellStyle name="强调文字颜色 3 3 4 4" xfId="1867"/>
    <cellStyle name="强调文字颜色 3 3 5" xfId="1868"/>
    <cellStyle name="强调文字颜色 3 3 6" xfId="1869"/>
    <cellStyle name="强调文字颜色 3 3 7" xfId="1870"/>
    <cellStyle name="强调文字颜色 3 4" xfId="1871"/>
    <cellStyle name="强调文字颜色 3 4 2" xfId="1872"/>
    <cellStyle name="强调文字颜色 3 4 2 2" xfId="1873"/>
    <cellStyle name="强调文字颜色 3 4 2 3" xfId="1874"/>
    <cellStyle name="强调文字颜色 3 4 2 4" xfId="1875"/>
    <cellStyle name="强调文字颜色 3 4 3" xfId="1876"/>
    <cellStyle name="强调文字颜色 3 4 3 2" xfId="1877"/>
    <cellStyle name="强调文字颜色 3 4 3 3" xfId="1878"/>
    <cellStyle name="强调文字颜色 3 4 3 4" xfId="1879"/>
    <cellStyle name="强调文字颜色 3 4 4" xfId="1880"/>
    <cellStyle name="强调文字颜色 3 4 4 2" xfId="1881"/>
    <cellStyle name="强调文字颜色 3 4 4 3" xfId="1882"/>
    <cellStyle name="强调文字颜色 3 4 4 4" xfId="1883"/>
    <cellStyle name="强调文字颜色 3 4 5" xfId="1884"/>
    <cellStyle name="强调文字颜色 3 4 6" xfId="1885"/>
    <cellStyle name="强调文字颜色 3 4 7" xfId="1886"/>
    <cellStyle name="强调文字颜色 4 2" xfId="1887"/>
    <cellStyle name="强调文字颜色 4 2 2" xfId="1888"/>
    <cellStyle name="强调文字颜色 4 2 2 2" xfId="1889"/>
    <cellStyle name="强调文字颜色 4 2 2 3" xfId="1890"/>
    <cellStyle name="强调文字颜色 4 2 2 4" xfId="1891"/>
    <cellStyle name="强调文字颜色 4 2 3" xfId="1892"/>
    <cellStyle name="强调文字颜色 4 2 3 2" xfId="1893"/>
    <cellStyle name="强调文字颜色 4 2 3 3" xfId="1894"/>
    <cellStyle name="强调文字颜色 4 2 3 4" xfId="1895"/>
    <cellStyle name="强调文字颜色 4 2 4" xfId="1896"/>
    <cellStyle name="强调文字颜色 4 2 4 2" xfId="1897"/>
    <cellStyle name="强调文字颜色 4 2 4 3" xfId="1898"/>
    <cellStyle name="强调文字颜色 4 2 4 4" xfId="1899"/>
    <cellStyle name="强调文字颜色 4 2 5" xfId="1900"/>
    <cellStyle name="强调文字颜色 4 2 6" xfId="1901"/>
    <cellStyle name="强调文字颜色 4 2 7" xfId="1902"/>
    <cellStyle name="强调文字颜色 4 3" xfId="1903"/>
    <cellStyle name="强调文字颜色 4 3 2" xfId="1904"/>
    <cellStyle name="强调文字颜色 4 3 2 2" xfId="1905"/>
    <cellStyle name="强调文字颜色 4 3 2 3" xfId="1906"/>
    <cellStyle name="强调文字颜色 4 3 2 4" xfId="1907"/>
    <cellStyle name="强调文字颜色 4 3 3" xfId="1908"/>
    <cellStyle name="强调文字颜色 4 3 3 2" xfId="1909"/>
    <cellStyle name="强调文字颜色 4 3 3 3" xfId="1910"/>
    <cellStyle name="强调文字颜色 4 3 3 4" xfId="1911"/>
    <cellStyle name="强调文字颜色 4 3 4" xfId="1912"/>
    <cellStyle name="强调文字颜色 4 3 4 2" xfId="1913"/>
    <cellStyle name="强调文字颜色 4 3 4 3" xfId="1914"/>
    <cellStyle name="强调文字颜色 4 3 4 4" xfId="1915"/>
    <cellStyle name="强调文字颜色 4 3 5" xfId="1916"/>
    <cellStyle name="强调文字颜色 4 3 6" xfId="1917"/>
    <cellStyle name="强调文字颜色 4 3 7" xfId="1918"/>
    <cellStyle name="强调文字颜色 4 4" xfId="1919"/>
    <cellStyle name="强调文字颜色 4 4 2" xfId="1920"/>
    <cellStyle name="强调文字颜色 4 4 2 2" xfId="1921"/>
    <cellStyle name="强调文字颜色 4 4 2 3" xfId="1922"/>
    <cellStyle name="强调文字颜色 4 4 2 4" xfId="1923"/>
    <cellStyle name="强调文字颜色 4 4 3" xfId="1924"/>
    <cellStyle name="强调文字颜色 4 4 3 2" xfId="1925"/>
    <cellStyle name="强调文字颜色 4 4 3 3" xfId="1926"/>
    <cellStyle name="强调文字颜色 4 4 3 4" xfId="1927"/>
    <cellStyle name="强调文字颜色 4 4 4" xfId="1928"/>
    <cellStyle name="强调文字颜色 4 4 4 2" xfId="1929"/>
    <cellStyle name="强调文字颜色 4 4 4 3" xfId="1930"/>
    <cellStyle name="强调文字颜色 4 4 4 4" xfId="1931"/>
    <cellStyle name="强调文字颜色 4 4 5" xfId="1932"/>
    <cellStyle name="强调文字颜色 4 4 6" xfId="1933"/>
    <cellStyle name="强调文字颜色 4 4 7" xfId="1934"/>
    <cellStyle name="强调文字颜色 5 2" xfId="1935"/>
    <cellStyle name="强调文字颜色 5 2 2" xfId="1936"/>
    <cellStyle name="强调文字颜色 5 2 2 2" xfId="1937"/>
    <cellStyle name="强调文字颜色 5 2 2 3" xfId="1938"/>
    <cellStyle name="强调文字颜色 5 2 2 4" xfId="1939"/>
    <cellStyle name="强调文字颜色 5 2 3" xfId="1940"/>
    <cellStyle name="强调文字颜色 5 2 3 2" xfId="1941"/>
    <cellStyle name="强调文字颜色 5 2 3 3" xfId="1942"/>
    <cellStyle name="强调文字颜色 5 2 3 4" xfId="1943"/>
    <cellStyle name="强调文字颜色 5 2 4" xfId="1944"/>
    <cellStyle name="强调文字颜色 5 2 4 2" xfId="1945"/>
    <cellStyle name="强调文字颜色 5 2 4 3" xfId="1946"/>
    <cellStyle name="强调文字颜色 5 2 4 4" xfId="1947"/>
    <cellStyle name="强调文字颜色 5 2 5" xfId="1948"/>
    <cellStyle name="强调文字颜色 5 2 6" xfId="1949"/>
    <cellStyle name="强调文字颜色 5 2 7" xfId="1950"/>
    <cellStyle name="强调文字颜色 5 3" xfId="1951"/>
    <cellStyle name="强调文字颜色 5 3 2" xfId="1952"/>
    <cellStyle name="强调文字颜色 5 3 2 2" xfId="1953"/>
    <cellStyle name="强调文字颜色 5 3 2 3" xfId="1954"/>
    <cellStyle name="强调文字颜色 5 3 2 4" xfId="1955"/>
    <cellStyle name="强调文字颜色 5 3 3" xfId="1956"/>
    <cellStyle name="强调文字颜色 5 3 3 2" xfId="1957"/>
    <cellStyle name="强调文字颜色 5 3 3 3" xfId="1958"/>
    <cellStyle name="强调文字颜色 5 3 3 4" xfId="1959"/>
    <cellStyle name="强调文字颜色 5 3 4" xfId="1960"/>
    <cellStyle name="强调文字颜色 5 3 4 2" xfId="1961"/>
    <cellStyle name="强调文字颜色 5 3 4 3" xfId="1962"/>
    <cellStyle name="强调文字颜色 5 3 4 4" xfId="1963"/>
    <cellStyle name="强调文字颜色 5 3 5" xfId="1964"/>
    <cellStyle name="强调文字颜色 5 3 6" xfId="1965"/>
    <cellStyle name="强调文字颜色 5 3 7" xfId="1966"/>
    <cellStyle name="强调文字颜色 5 4" xfId="1967"/>
    <cellStyle name="强调文字颜色 5 4 2" xfId="1968"/>
    <cellStyle name="强调文字颜色 5 4 2 2" xfId="1969"/>
    <cellStyle name="强调文字颜色 5 4 2 3" xfId="1970"/>
    <cellStyle name="强调文字颜色 5 4 2 4" xfId="1971"/>
    <cellStyle name="强调文字颜色 5 4 3" xfId="1972"/>
    <cellStyle name="强调文字颜色 5 4 3 2" xfId="1973"/>
    <cellStyle name="强调文字颜色 5 4 3 3" xfId="1974"/>
    <cellStyle name="强调文字颜色 5 4 3 4" xfId="1975"/>
    <cellStyle name="强调文字颜色 5 4 4" xfId="1976"/>
    <cellStyle name="强调文字颜色 5 4 4 2" xfId="1977"/>
    <cellStyle name="强调文字颜色 5 4 4 3" xfId="1978"/>
    <cellStyle name="强调文字颜色 5 4 4 4" xfId="1979"/>
    <cellStyle name="强调文字颜色 5 4 5" xfId="1980"/>
    <cellStyle name="强调文字颜色 5 4 6" xfId="1981"/>
    <cellStyle name="强调文字颜色 5 4 7" xfId="1982"/>
    <cellStyle name="强调文字颜色 6 2" xfId="1983"/>
    <cellStyle name="强调文字颜色 6 2 2" xfId="1984"/>
    <cellStyle name="强调文字颜色 6 2 2 2" xfId="1985"/>
    <cellStyle name="强调文字颜色 6 2 2 3" xfId="1986"/>
    <cellStyle name="强调文字颜色 6 2 2 4" xfId="1987"/>
    <cellStyle name="强调文字颜色 6 2 3" xfId="1988"/>
    <cellStyle name="强调文字颜色 6 2 3 2" xfId="1989"/>
    <cellStyle name="强调文字颜色 6 2 3 3" xfId="1990"/>
    <cellStyle name="强调文字颜色 6 2 3 4" xfId="1991"/>
    <cellStyle name="强调文字颜色 6 2 4" xfId="1992"/>
    <cellStyle name="强调文字颜色 6 2 4 2" xfId="1993"/>
    <cellStyle name="强调文字颜色 6 2 4 3" xfId="1994"/>
    <cellStyle name="强调文字颜色 6 2 4 4" xfId="1995"/>
    <cellStyle name="强调文字颜色 6 2 5" xfId="1996"/>
    <cellStyle name="强调文字颜色 6 2 6" xfId="1997"/>
    <cellStyle name="强调文字颜色 6 2 7" xfId="1998"/>
    <cellStyle name="强调文字颜色 6 3" xfId="1999"/>
    <cellStyle name="强调文字颜色 6 3 2" xfId="2000"/>
    <cellStyle name="强调文字颜色 6 3 2 2" xfId="2001"/>
    <cellStyle name="强调文字颜色 6 3 2 3" xfId="2002"/>
    <cellStyle name="强调文字颜色 6 3 2 4" xfId="2003"/>
    <cellStyle name="强调文字颜色 6 3 3" xfId="2004"/>
    <cellStyle name="强调文字颜色 6 3 3 2" xfId="2005"/>
    <cellStyle name="强调文字颜色 6 3 3 3" xfId="2006"/>
    <cellStyle name="强调文字颜色 6 3 3 4" xfId="2007"/>
    <cellStyle name="强调文字颜色 6 3 4" xfId="2008"/>
    <cellStyle name="强调文字颜色 6 3 4 2" xfId="2009"/>
    <cellStyle name="强调文字颜色 6 3 4 3" xfId="2010"/>
    <cellStyle name="强调文字颜色 6 3 4 4" xfId="2011"/>
    <cellStyle name="强调文字颜色 6 3 5" xfId="2012"/>
    <cellStyle name="强调文字颜色 6 3 6" xfId="2013"/>
    <cellStyle name="强调文字颜色 6 3 7" xfId="2014"/>
    <cellStyle name="强调文字颜色 6 4" xfId="2015"/>
    <cellStyle name="强调文字颜色 6 4 2" xfId="2016"/>
    <cellStyle name="强调文字颜色 6 4 2 2" xfId="2017"/>
    <cellStyle name="强调文字颜色 6 4 2 3" xfId="2018"/>
    <cellStyle name="强调文字颜色 6 4 2 4" xfId="2019"/>
    <cellStyle name="强调文字颜色 6 4 3" xfId="2020"/>
    <cellStyle name="强调文字颜色 6 4 3 2" xfId="2021"/>
    <cellStyle name="强调文字颜色 6 4 3 3" xfId="2022"/>
    <cellStyle name="强调文字颜色 6 4 3 4" xfId="2023"/>
    <cellStyle name="强调文字颜色 6 4 4" xfId="2024"/>
    <cellStyle name="强调文字颜色 6 4 4 2" xfId="2025"/>
    <cellStyle name="强调文字颜色 6 4 4 3" xfId="2026"/>
    <cellStyle name="强调文字颜色 6 4 4 4" xfId="2027"/>
    <cellStyle name="强调文字颜色 6 4 5" xfId="2028"/>
    <cellStyle name="强调文字颜色 6 4 6" xfId="2029"/>
    <cellStyle name="强调文字颜色 6 4 7" xfId="2030"/>
    <cellStyle name="适中 2" xfId="2031"/>
    <cellStyle name="适中 2 2" xfId="2032"/>
    <cellStyle name="适中 2 2 2" xfId="2033"/>
    <cellStyle name="适中 2 2 3" xfId="2034"/>
    <cellStyle name="适中 2 2 4" xfId="2035"/>
    <cellStyle name="适中 2 3" xfId="2036"/>
    <cellStyle name="适中 2 3 2" xfId="2037"/>
    <cellStyle name="适中 2 3 3" xfId="2038"/>
    <cellStyle name="适中 2 3 4" xfId="2039"/>
    <cellStyle name="适中 2 4" xfId="2040"/>
    <cellStyle name="适中 2 4 2" xfId="2041"/>
    <cellStyle name="适中 2 4 3" xfId="2042"/>
    <cellStyle name="适中 2 4 4" xfId="2043"/>
    <cellStyle name="适中 2 5" xfId="2044"/>
    <cellStyle name="适中 2 6" xfId="2045"/>
    <cellStyle name="适中 2 7" xfId="2046"/>
    <cellStyle name="适中 3" xfId="2047"/>
    <cellStyle name="适中 3 2" xfId="2048"/>
    <cellStyle name="适中 3 2 2" xfId="2049"/>
    <cellStyle name="适中 3 2 3" xfId="2050"/>
    <cellStyle name="适中 3 2 4" xfId="2051"/>
    <cellStyle name="适中 3 3" xfId="2052"/>
    <cellStyle name="适中 3 3 2" xfId="2053"/>
    <cellStyle name="适中 3 3 3" xfId="2054"/>
    <cellStyle name="适中 3 3 4" xfId="2055"/>
    <cellStyle name="适中 3 4" xfId="2056"/>
    <cellStyle name="适中 3 4 2" xfId="2057"/>
    <cellStyle name="适中 3 4 3" xfId="2058"/>
    <cellStyle name="适中 3 4 4" xfId="2059"/>
    <cellStyle name="适中 3 5" xfId="2060"/>
    <cellStyle name="适中 3 6" xfId="2061"/>
    <cellStyle name="适中 3 7" xfId="2062"/>
    <cellStyle name="适中 4" xfId="2063"/>
    <cellStyle name="适中 4 2" xfId="2064"/>
    <cellStyle name="适中 4 2 2" xfId="2065"/>
    <cellStyle name="适中 4 2 3" xfId="2066"/>
    <cellStyle name="适中 4 2 4" xfId="2067"/>
    <cellStyle name="适中 4 3" xfId="2068"/>
    <cellStyle name="适中 4 3 2" xfId="2069"/>
    <cellStyle name="适中 4 3 3" xfId="2070"/>
    <cellStyle name="适中 4 3 4" xfId="2071"/>
    <cellStyle name="适中 4 4" xfId="2072"/>
    <cellStyle name="适中 4 4 2" xfId="2073"/>
    <cellStyle name="适中 4 4 3" xfId="2074"/>
    <cellStyle name="适中 4 4 4" xfId="2075"/>
    <cellStyle name="适中 4 5" xfId="2076"/>
    <cellStyle name="适中 4 6" xfId="2077"/>
    <cellStyle name="适中 4 7" xfId="2078"/>
    <cellStyle name="输出 2" xfId="2079"/>
    <cellStyle name="输出 2 2" xfId="2080"/>
    <cellStyle name="输出 2 2 2" xfId="2081"/>
    <cellStyle name="输出 2 2 3" xfId="2082"/>
    <cellStyle name="输出 2 2 4" xfId="2083"/>
    <cellStyle name="输出 2 3" xfId="2084"/>
    <cellStyle name="输出 2 3 2" xfId="2085"/>
    <cellStyle name="输出 2 3 3" xfId="2086"/>
    <cellStyle name="输出 2 3 4" xfId="2087"/>
    <cellStyle name="输出 2 4" xfId="2088"/>
    <cellStyle name="输出 2 4 2" xfId="2089"/>
    <cellStyle name="输出 2 4 3" xfId="2090"/>
    <cellStyle name="输出 2 4 4" xfId="2091"/>
    <cellStyle name="输出 2 5" xfId="2092"/>
    <cellStyle name="输出 2 6" xfId="2093"/>
    <cellStyle name="输出 2 7" xfId="2094"/>
    <cellStyle name="输出 3" xfId="2095"/>
    <cellStyle name="输出 3 2" xfId="2096"/>
    <cellStyle name="输出 3 2 2" xfId="2097"/>
    <cellStyle name="输出 3 2 3" xfId="2098"/>
    <cellStyle name="输出 3 2 4" xfId="2099"/>
    <cellStyle name="输出 3 3" xfId="2100"/>
    <cellStyle name="输出 3 3 2" xfId="2101"/>
    <cellStyle name="输出 3 3 3" xfId="2102"/>
    <cellStyle name="输出 3 3 4" xfId="2103"/>
    <cellStyle name="输出 3 4" xfId="2104"/>
    <cellStyle name="输出 3 4 2" xfId="2105"/>
    <cellStyle name="输出 3 4 3" xfId="2106"/>
    <cellStyle name="输出 3 4 4" xfId="2107"/>
    <cellStyle name="输出 3 5" xfId="2108"/>
    <cellStyle name="输出 3 6" xfId="2109"/>
    <cellStyle name="输出 3 7" xfId="2110"/>
    <cellStyle name="输出 4" xfId="2111"/>
    <cellStyle name="输出 4 2" xfId="2112"/>
    <cellStyle name="输出 4 2 2" xfId="2113"/>
    <cellStyle name="输出 4 2 3" xfId="2114"/>
    <cellStyle name="输出 4 2 4" xfId="2115"/>
    <cellStyle name="输出 4 3" xfId="2116"/>
    <cellStyle name="输出 4 3 2" xfId="2117"/>
    <cellStyle name="输出 4 3 3" xfId="2118"/>
    <cellStyle name="输出 4 3 4" xfId="2119"/>
    <cellStyle name="输出 4 4" xfId="2120"/>
    <cellStyle name="输出 4 4 2" xfId="2121"/>
    <cellStyle name="输出 4 4 3" xfId="2122"/>
    <cellStyle name="输出 4 4 4" xfId="2123"/>
    <cellStyle name="输出 4 5" xfId="2124"/>
    <cellStyle name="输出 4 6" xfId="2125"/>
    <cellStyle name="输出 4 7" xfId="2126"/>
    <cellStyle name="输入 2" xfId="2127"/>
    <cellStyle name="输入 2 2" xfId="2128"/>
    <cellStyle name="输入 2 2 2" xfId="2129"/>
    <cellStyle name="输入 2 2 3" xfId="2130"/>
    <cellStyle name="输入 2 2 4" xfId="2131"/>
    <cellStyle name="输入 2 3" xfId="2132"/>
    <cellStyle name="输入 2 3 2" xfId="2133"/>
    <cellStyle name="输入 2 3 3" xfId="2134"/>
    <cellStyle name="输入 2 3 4" xfId="2135"/>
    <cellStyle name="输入 2 4" xfId="2136"/>
    <cellStyle name="输入 2 4 2" xfId="2137"/>
    <cellStyle name="输入 2 4 3" xfId="2138"/>
    <cellStyle name="输入 2 4 4" xfId="2139"/>
    <cellStyle name="输入 2 5" xfId="2140"/>
    <cellStyle name="输入 2 6" xfId="2141"/>
    <cellStyle name="输入 2 7" xfId="2142"/>
    <cellStyle name="输入 3" xfId="2143"/>
    <cellStyle name="输入 3 2" xfId="2144"/>
    <cellStyle name="输入 3 2 2" xfId="2145"/>
    <cellStyle name="输入 3 2 3" xfId="2146"/>
    <cellStyle name="输入 3 2 4" xfId="2147"/>
    <cellStyle name="输入 3 3" xfId="2148"/>
    <cellStyle name="输入 3 3 2" xfId="2149"/>
    <cellStyle name="输入 3 3 3" xfId="2150"/>
    <cellStyle name="输入 3 3 4" xfId="2151"/>
    <cellStyle name="输入 3 4" xfId="2152"/>
    <cellStyle name="输入 3 4 2" xfId="2153"/>
    <cellStyle name="输入 3 4 3" xfId="2154"/>
    <cellStyle name="输入 3 4 4" xfId="2155"/>
    <cellStyle name="输入 3 5" xfId="2156"/>
    <cellStyle name="输入 3 6" xfId="2157"/>
    <cellStyle name="输入 3 7" xfId="2158"/>
    <cellStyle name="输入 4" xfId="2159"/>
    <cellStyle name="输入 4 2" xfId="2160"/>
    <cellStyle name="输入 4 2 2" xfId="2161"/>
    <cellStyle name="输入 4 2 3" xfId="2162"/>
    <cellStyle name="输入 4 2 4" xfId="2163"/>
    <cellStyle name="输入 4 3" xfId="2164"/>
    <cellStyle name="输入 4 3 2" xfId="2165"/>
    <cellStyle name="输入 4 3 3" xfId="2166"/>
    <cellStyle name="输入 4 3 4" xfId="2167"/>
    <cellStyle name="输入 4 4" xfId="2168"/>
    <cellStyle name="输入 4 4 2" xfId="2169"/>
    <cellStyle name="输入 4 4 3" xfId="2170"/>
    <cellStyle name="输入 4 4 4" xfId="2171"/>
    <cellStyle name="输入 4 5" xfId="2172"/>
    <cellStyle name="输入 4 6" xfId="2173"/>
    <cellStyle name="输入 4 7" xfId="2174"/>
    <cellStyle name="注释 2" xfId="2175"/>
    <cellStyle name="注释 3" xfId="2176"/>
    <cellStyle name="注释 4" xfId="2177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pageSetUpPr fitToPage="1"/>
  </sheetPr>
  <dimension ref="A1:R53"/>
  <sheetViews>
    <sheetView tabSelected="1" topLeftCell="C1" workbookViewId="0">
      <selection activeCell="H13" sqref="H13"/>
    </sheetView>
  </sheetViews>
  <sheetFormatPr defaultColWidth="9" defaultRowHeight="14.25"/>
  <cols>
    <col min="1" max="1" width="12.375" customWidth="1"/>
    <col min="2" max="3" width="31.25" customWidth="1"/>
    <col min="4" max="5" width="31.3333333333333" style="215" customWidth="1"/>
    <col min="6" max="6" width="25.25" style="216" customWidth="1"/>
    <col min="7" max="7" width="14.5" style="216" customWidth="1"/>
    <col min="8" max="8" width="16.875" style="216" customWidth="1"/>
    <col min="9" max="9" width="8.25" style="216" customWidth="1"/>
    <col min="10" max="10" width="7.58333333333333" style="216" customWidth="1"/>
    <col min="11" max="11" width="5" style="216" customWidth="1"/>
    <col min="12" max="12" width="12" style="216" customWidth="1"/>
    <col min="13" max="13" width="17.75" customWidth="1"/>
    <col min="14" max="14" width="20.875" customWidth="1"/>
  </cols>
  <sheetData>
    <row r="1" ht="72" customHeight="1" spans="1:18">
      <c r="A1" s="184" t="s">
        <v>0</v>
      </c>
    </row>
    <row r="2" ht="23.25" customHeight="1" spans="1:18">
      <c r="A2" s="217"/>
    </row>
    <row r="3" ht="36" customHeight="1" spans="1:18">
      <c r="A3" s="218" t="s">
        <v>1</v>
      </c>
      <c r="B3" s="219"/>
      <c r="C3" s="219"/>
      <c r="D3" s="187"/>
      <c r="E3" s="187"/>
      <c r="F3" s="181"/>
      <c r="G3" s="181"/>
      <c r="H3" s="181"/>
      <c r="I3" s="181"/>
      <c r="J3" s="181"/>
      <c r="K3" s="181"/>
      <c r="L3" s="181"/>
      <c r="M3" s="220"/>
    </row>
    <row r="4" ht="33" customHeight="1" spans="1:18">
      <c r="A4" s="195" t="s">
        <v>2</v>
      </c>
      <c r="B4" s="221" t="s">
        <v>3</v>
      </c>
      <c r="C4" s="196" t="s">
        <v>4</v>
      </c>
      <c r="D4" s="118"/>
      <c r="E4" s="222" t="s">
        <v>5</v>
      </c>
      <c r="F4" s="222" t="s">
        <v>6</v>
      </c>
      <c r="G4" s="223" t="s">
        <v>7</v>
      </c>
      <c r="H4" s="224" t="s">
        <v>8</v>
      </c>
      <c r="I4" s="221" t="s">
        <v>9</v>
      </c>
      <c r="J4" s="60"/>
      <c r="K4" s="60"/>
      <c r="L4" s="118"/>
      <c r="M4" s="196" t="s">
        <v>10</v>
      </c>
      <c r="N4" s="175" t="s">
        <v>11</v>
      </c>
    </row>
    <row r="5" ht="19" customHeight="1" spans="1:18">
      <c r="A5" s="225"/>
      <c r="B5" s="195"/>
      <c r="C5" s="199" t="s">
        <v>12</v>
      </c>
      <c r="D5" s="199" t="s">
        <v>13</v>
      </c>
      <c r="E5" s="226"/>
      <c r="F5" s="226"/>
      <c r="G5" s="226"/>
      <c r="H5" s="227"/>
      <c r="I5" s="195" t="s">
        <v>14</v>
      </c>
      <c r="J5" s="195" t="s">
        <v>15</v>
      </c>
      <c r="K5" s="195" t="s">
        <v>16</v>
      </c>
      <c r="L5" s="195" t="s">
        <v>17</v>
      </c>
      <c r="M5" s="195" t="s">
        <v>18</v>
      </c>
      <c r="N5" s="225"/>
    </row>
    <row r="6" ht="35.15" customHeight="1" spans="1:18">
      <c r="A6" s="228">
        <v>1</v>
      </c>
      <c r="B6" s="221"/>
      <c r="C6" s="229" t="s">
        <v>19</v>
      </c>
      <c r="D6" s="127" t="s">
        <v>20</v>
      </c>
      <c r="E6" s="127" t="s">
        <v>21</v>
      </c>
      <c r="F6" s="230" t="s">
        <v>22</v>
      </c>
      <c r="G6" s="231">
        <v>26</v>
      </c>
      <c r="H6" s="231">
        <v>1</v>
      </c>
      <c r="I6" s="232">
        <v>260</v>
      </c>
      <c r="J6" s="221">
        <v>60</v>
      </c>
      <c r="K6" s="233">
        <v>110</v>
      </c>
      <c r="L6" s="234">
        <v>44.616</v>
      </c>
      <c r="M6" s="235">
        <v>7907</v>
      </c>
      <c r="N6" s="175" t="s">
        <v>23</v>
      </c>
      <c r="O6" s="137"/>
      <c r="P6" s="236"/>
      <c r="Q6" s="236"/>
      <c r="R6" s="237"/>
    </row>
    <row r="7" ht="35.15" customHeight="1" spans="1:18">
      <c r="A7" s="228">
        <v>2</v>
      </c>
      <c r="B7" s="221"/>
      <c r="C7" s="229" t="s">
        <v>24</v>
      </c>
      <c r="D7" s="127" t="s">
        <v>25</v>
      </c>
      <c r="E7" s="127" t="s">
        <v>26</v>
      </c>
      <c r="F7" s="230" t="s">
        <v>27</v>
      </c>
      <c r="G7" s="231">
        <v>32</v>
      </c>
      <c r="H7" s="231">
        <v>200</v>
      </c>
      <c r="I7" s="232">
        <v>41</v>
      </c>
      <c r="J7" s="221">
        <v>33</v>
      </c>
      <c r="K7" s="233">
        <v>64</v>
      </c>
      <c r="L7" s="234">
        <v>2.7709</v>
      </c>
      <c r="M7" s="235">
        <v>672</v>
      </c>
      <c r="N7" s="175" t="s">
        <v>23</v>
      </c>
      <c r="O7" s="137"/>
      <c r="P7" s="236"/>
      <c r="Q7" s="236"/>
      <c r="R7" s="237"/>
    </row>
    <row r="8" ht="35.15" customHeight="1" spans="1:18">
      <c r="A8" s="228">
        <v>3</v>
      </c>
      <c r="B8" s="221"/>
      <c r="C8" s="229" t="s">
        <v>28</v>
      </c>
      <c r="D8" s="127" t="s">
        <v>29</v>
      </c>
      <c r="E8" s="127" t="s">
        <v>30</v>
      </c>
      <c r="F8" s="230" t="s">
        <v>31</v>
      </c>
      <c r="G8" s="231">
        <v>8</v>
      </c>
      <c r="H8" s="231">
        <v>2500</v>
      </c>
      <c r="I8" s="232">
        <v>48</v>
      </c>
      <c r="J8" s="221">
        <v>39</v>
      </c>
      <c r="K8" s="233">
        <v>20</v>
      </c>
      <c r="L8" s="234">
        <v>0.2995</v>
      </c>
      <c r="M8" s="235">
        <v>110</v>
      </c>
      <c r="N8" s="175" t="s">
        <v>23</v>
      </c>
      <c r="O8" s="137"/>
      <c r="P8" s="236"/>
      <c r="Q8" s="236"/>
      <c r="R8" s="237"/>
    </row>
    <row r="9" ht="35.15" customHeight="1" spans="1:18">
      <c r="A9" s="228">
        <v>4</v>
      </c>
      <c r="B9" s="221"/>
      <c r="C9" s="229" t="s">
        <v>32</v>
      </c>
      <c r="D9" s="127" t="s">
        <v>33</v>
      </c>
      <c r="E9" s="127" t="s">
        <v>21</v>
      </c>
      <c r="F9" s="230" t="s">
        <v>34</v>
      </c>
      <c r="G9" s="231">
        <v>2</v>
      </c>
      <c r="H9" s="231">
        <v>1</v>
      </c>
      <c r="I9" s="232">
        <v>243</v>
      </c>
      <c r="J9" s="221">
        <v>85</v>
      </c>
      <c r="K9" s="233">
        <v>138</v>
      </c>
      <c r="L9" s="234">
        <v>5.7008</v>
      </c>
      <c r="M9" s="235">
        <v>254</v>
      </c>
      <c r="N9" s="175" t="s">
        <v>23</v>
      </c>
      <c r="O9" s="137"/>
      <c r="P9" s="236"/>
      <c r="Q9" s="236"/>
      <c r="R9" s="237"/>
    </row>
    <row r="10" ht="35.15" customHeight="1" spans="1:18">
      <c r="A10" s="228">
        <v>5</v>
      </c>
      <c r="B10" s="221"/>
      <c r="C10" s="229" t="s">
        <v>35</v>
      </c>
      <c r="D10" s="127" t="s">
        <v>36</v>
      </c>
      <c r="E10" s="127" t="s">
        <v>21</v>
      </c>
      <c r="F10" s="230" t="s">
        <v>37</v>
      </c>
      <c r="G10" s="231">
        <v>2</v>
      </c>
      <c r="H10" s="231">
        <v>1</v>
      </c>
      <c r="I10" s="232">
        <v>243</v>
      </c>
      <c r="J10" s="221">
        <v>138</v>
      </c>
      <c r="K10" s="233">
        <v>95</v>
      </c>
      <c r="L10" s="234">
        <v>6.3715</v>
      </c>
      <c r="M10" s="235">
        <v>203</v>
      </c>
      <c r="N10" s="175" t="s">
        <v>23</v>
      </c>
      <c r="O10" s="137"/>
      <c r="P10" s="236"/>
      <c r="Q10" s="236"/>
      <c r="R10" s="237"/>
    </row>
    <row r="11" ht="35.15" customHeight="1" spans="1:18">
      <c r="A11" s="228">
        <v>6</v>
      </c>
      <c r="B11" s="221"/>
      <c r="C11" s="229" t="s">
        <v>38</v>
      </c>
      <c r="D11" s="127" t="s">
        <v>39</v>
      </c>
      <c r="E11" s="127" t="s">
        <v>21</v>
      </c>
      <c r="F11" s="230" t="s">
        <v>34</v>
      </c>
      <c r="G11" s="231">
        <v>3</v>
      </c>
      <c r="H11" s="231">
        <v>1</v>
      </c>
      <c r="I11" s="232">
        <v>243</v>
      </c>
      <c r="J11" s="221">
        <v>85</v>
      </c>
      <c r="K11" s="233">
        <v>138</v>
      </c>
      <c r="L11" s="234">
        <v>8.5512</v>
      </c>
      <c r="M11" s="235">
        <v>246</v>
      </c>
      <c r="N11" s="175" t="s">
        <v>23</v>
      </c>
      <c r="O11" s="137"/>
      <c r="P11" s="236"/>
      <c r="Q11" s="236"/>
      <c r="R11" s="237"/>
    </row>
    <row r="12" ht="35.15" customHeight="1" spans="1:18">
      <c r="A12" s="228">
        <v>7</v>
      </c>
      <c r="B12" s="221"/>
      <c r="C12" s="229" t="s">
        <v>40</v>
      </c>
      <c r="D12" s="127" t="s">
        <v>41</v>
      </c>
      <c r="E12" s="127" t="s">
        <v>21</v>
      </c>
      <c r="F12" s="230" t="s">
        <v>34</v>
      </c>
      <c r="G12" s="231">
        <v>1</v>
      </c>
      <c r="H12" s="231">
        <v>1</v>
      </c>
      <c r="I12" s="232">
        <v>0</v>
      </c>
      <c r="J12" s="221">
        <v>0</v>
      </c>
      <c r="K12" s="233">
        <v>0</v>
      </c>
      <c r="L12" s="234">
        <v>0</v>
      </c>
      <c r="M12" s="235">
        <v>0</v>
      </c>
      <c r="N12" s="175" t="s">
        <v>23</v>
      </c>
      <c r="O12" s="137"/>
      <c r="P12" s="236"/>
      <c r="Q12" s="236"/>
      <c r="R12" s="237"/>
    </row>
    <row r="13" ht="35.15" customHeight="1" spans="1:18">
      <c r="A13" s="228">
        <v>8</v>
      </c>
      <c r="B13" s="221"/>
      <c r="C13" s="229" t="s">
        <v>40</v>
      </c>
      <c r="D13" s="127" t="s">
        <v>42</v>
      </c>
      <c r="E13" s="127" t="s">
        <v>21</v>
      </c>
      <c r="F13" s="230" t="s">
        <v>34</v>
      </c>
      <c r="G13" s="231">
        <v>3</v>
      </c>
      <c r="H13" s="231">
        <v>1</v>
      </c>
      <c r="I13" s="232">
        <v>244</v>
      </c>
      <c r="J13" s="221">
        <v>43</v>
      </c>
      <c r="K13" s="233">
        <v>120</v>
      </c>
      <c r="L13" s="234">
        <v>3.7771</v>
      </c>
      <c r="M13" s="235">
        <v>136</v>
      </c>
      <c r="N13" s="175" t="s">
        <v>23</v>
      </c>
      <c r="O13" s="137"/>
      <c r="P13" s="236"/>
      <c r="Q13" s="236"/>
      <c r="R13" s="237"/>
    </row>
    <row r="14" ht="35.15" customHeight="1" spans="1:18">
      <c r="A14" s="228">
        <v>9</v>
      </c>
      <c r="B14" s="221"/>
      <c r="C14" s="229" t="s">
        <v>40</v>
      </c>
      <c r="D14" s="127" t="s">
        <v>43</v>
      </c>
      <c r="E14" s="127" t="s">
        <v>21</v>
      </c>
      <c r="F14" s="230" t="s">
        <v>34</v>
      </c>
      <c r="G14" s="231">
        <v>1</v>
      </c>
      <c r="H14" s="231">
        <v>1</v>
      </c>
      <c r="I14" s="232">
        <v>258</v>
      </c>
      <c r="J14" s="221">
        <v>78</v>
      </c>
      <c r="K14" s="233">
        <v>120</v>
      </c>
      <c r="L14" s="234">
        <v>2.4149</v>
      </c>
      <c r="M14" s="235">
        <v>210</v>
      </c>
      <c r="N14" s="175" t="s">
        <v>23</v>
      </c>
      <c r="O14" s="137"/>
      <c r="P14" s="236"/>
      <c r="Q14" s="236"/>
      <c r="R14" s="237"/>
    </row>
    <row r="15" ht="35.15" customHeight="1" spans="1:18">
      <c r="A15" s="228">
        <v>10</v>
      </c>
      <c r="B15" s="221"/>
      <c r="C15" s="229" t="s">
        <v>40</v>
      </c>
      <c r="D15" s="127" t="s">
        <v>44</v>
      </c>
      <c r="E15" s="127" t="s">
        <v>21</v>
      </c>
      <c r="F15" s="230" t="s">
        <v>34</v>
      </c>
      <c r="G15" s="231">
        <v>1</v>
      </c>
      <c r="H15" s="231">
        <v>1</v>
      </c>
      <c r="I15" s="232">
        <v>258</v>
      </c>
      <c r="J15" s="221">
        <v>82</v>
      </c>
      <c r="K15" s="233">
        <v>150</v>
      </c>
      <c r="L15" s="234">
        <v>3.1734</v>
      </c>
      <c r="M15" s="235">
        <v>696</v>
      </c>
      <c r="N15" s="175" t="s">
        <v>23</v>
      </c>
      <c r="O15" s="137"/>
      <c r="P15" s="236"/>
      <c r="Q15" s="236"/>
      <c r="R15" s="237"/>
    </row>
    <row r="16" ht="35.15" customHeight="1" spans="1:18">
      <c r="A16" s="228">
        <v>11</v>
      </c>
      <c r="B16" s="221"/>
      <c r="C16" s="229" t="s">
        <v>40</v>
      </c>
      <c r="D16" s="127" t="s">
        <v>45</v>
      </c>
      <c r="E16" s="127" t="s">
        <v>21</v>
      </c>
      <c r="F16" s="230" t="s">
        <v>34</v>
      </c>
      <c r="G16" s="231">
        <v>1</v>
      </c>
      <c r="H16" s="231">
        <v>1</v>
      </c>
      <c r="I16" s="232">
        <v>155</v>
      </c>
      <c r="J16" s="221">
        <v>78</v>
      </c>
      <c r="K16" s="233">
        <v>108</v>
      </c>
      <c r="L16" s="234">
        <v>1.3057</v>
      </c>
      <c r="M16" s="235">
        <v>129</v>
      </c>
      <c r="N16" s="175" t="s">
        <v>23</v>
      </c>
      <c r="O16" s="137"/>
      <c r="P16" s="236"/>
      <c r="Q16" s="236"/>
      <c r="R16" s="237"/>
    </row>
    <row r="17" ht="35.15" customHeight="1" spans="1:18">
      <c r="A17" s="228">
        <v>12</v>
      </c>
      <c r="B17" s="221"/>
      <c r="C17" s="229" t="s">
        <v>40</v>
      </c>
      <c r="D17" s="127" t="s">
        <v>46</v>
      </c>
      <c r="E17" s="127" t="s">
        <v>21</v>
      </c>
      <c r="F17" s="230" t="s">
        <v>34</v>
      </c>
      <c r="G17" s="231">
        <v>1</v>
      </c>
      <c r="H17" s="231">
        <v>1</v>
      </c>
      <c r="I17" s="232">
        <v>208</v>
      </c>
      <c r="J17" s="221">
        <v>78</v>
      </c>
      <c r="K17" s="233">
        <v>108</v>
      </c>
      <c r="L17" s="234">
        <v>1.7522</v>
      </c>
      <c r="M17" s="235">
        <v>132</v>
      </c>
      <c r="N17" s="175" t="s">
        <v>23</v>
      </c>
      <c r="O17" s="137"/>
      <c r="P17" s="236"/>
      <c r="Q17" s="236"/>
      <c r="R17" s="237"/>
    </row>
    <row r="18" ht="35.15" customHeight="1" spans="1:18">
      <c r="A18" s="228">
        <v>13</v>
      </c>
      <c r="B18" s="221"/>
      <c r="C18" s="229" t="s">
        <v>47</v>
      </c>
      <c r="D18" s="127" t="s">
        <v>48</v>
      </c>
      <c r="E18" s="127" t="s">
        <v>21</v>
      </c>
      <c r="F18" s="230" t="s">
        <v>49</v>
      </c>
      <c r="G18" s="231">
        <v>1</v>
      </c>
      <c r="H18" s="231">
        <v>1</v>
      </c>
      <c r="I18" s="232">
        <v>243</v>
      </c>
      <c r="J18" s="221">
        <v>138</v>
      </c>
      <c r="K18" s="233">
        <v>95</v>
      </c>
      <c r="L18" s="234">
        <v>3.1857</v>
      </c>
      <c r="M18" s="235">
        <v>203</v>
      </c>
      <c r="N18" s="175" t="s">
        <v>23</v>
      </c>
      <c r="O18" s="137"/>
      <c r="P18" s="236"/>
      <c r="Q18" s="236"/>
      <c r="R18" s="237"/>
    </row>
    <row r="19" ht="35.15" customHeight="1" spans="1:18">
      <c r="A19" s="228">
        <v>14</v>
      </c>
      <c r="B19" s="221"/>
      <c r="C19" s="229" t="s">
        <v>50</v>
      </c>
      <c r="D19" s="127" t="s">
        <v>51</v>
      </c>
      <c r="E19" s="127" t="s">
        <v>21</v>
      </c>
      <c r="F19" s="230" t="s">
        <v>34</v>
      </c>
      <c r="G19" s="231">
        <v>1</v>
      </c>
      <c r="H19" s="231">
        <v>1</v>
      </c>
      <c r="I19" s="232">
        <v>210</v>
      </c>
      <c r="J19" s="221">
        <v>78</v>
      </c>
      <c r="K19" s="233">
        <v>108</v>
      </c>
      <c r="L19" s="234">
        <v>1.769</v>
      </c>
      <c r="M19" s="235">
        <v>153</v>
      </c>
      <c r="N19" s="175" t="s">
        <v>23</v>
      </c>
      <c r="O19" s="137"/>
      <c r="P19" s="236"/>
      <c r="Q19" s="236"/>
      <c r="R19" s="237"/>
    </row>
    <row r="20" ht="35.15" customHeight="1" spans="1:18">
      <c r="A20" s="228">
        <v>15</v>
      </c>
      <c r="B20" s="221"/>
      <c r="C20" s="229" t="s">
        <v>52</v>
      </c>
      <c r="D20" s="127" t="s">
        <v>53</v>
      </c>
      <c r="E20" s="127" t="s">
        <v>54</v>
      </c>
      <c r="F20" s="230" t="s">
        <v>55</v>
      </c>
      <c r="G20" s="231">
        <v>3</v>
      </c>
      <c r="H20" s="231">
        <v>1</v>
      </c>
      <c r="I20" s="232">
        <v>208</v>
      </c>
      <c r="J20" s="221">
        <v>38</v>
      </c>
      <c r="K20" s="233">
        <v>168</v>
      </c>
      <c r="L20" s="234">
        <v>3.9836</v>
      </c>
      <c r="M20" s="235">
        <v>140</v>
      </c>
      <c r="N20" s="175" t="s">
        <v>23</v>
      </c>
      <c r="O20" s="137"/>
      <c r="P20" s="236"/>
      <c r="Q20" s="236"/>
      <c r="R20" s="237"/>
    </row>
    <row r="21" ht="35.15" customHeight="1" spans="1:18">
      <c r="A21" s="228">
        <v>16</v>
      </c>
      <c r="B21" s="221"/>
      <c r="C21" s="229" t="s">
        <v>56</v>
      </c>
      <c r="D21" s="127" t="s">
        <v>57</v>
      </c>
      <c r="E21" s="127" t="s">
        <v>58</v>
      </c>
      <c r="F21" s="230" t="s">
        <v>59</v>
      </c>
      <c r="G21" s="231">
        <v>1</v>
      </c>
      <c r="H21" s="231">
        <v>1</v>
      </c>
      <c r="I21" s="232">
        <v>0</v>
      </c>
      <c r="J21" s="221">
        <v>0</v>
      </c>
      <c r="K21" s="233">
        <v>0</v>
      </c>
      <c r="L21" s="234">
        <v>0</v>
      </c>
      <c r="M21" s="235">
        <v>0</v>
      </c>
      <c r="N21" s="175" t="s">
        <v>23</v>
      </c>
      <c r="O21" s="137"/>
      <c r="P21" s="236"/>
      <c r="Q21" s="236"/>
      <c r="R21" s="237"/>
    </row>
    <row r="22" ht="35.15" customHeight="1" spans="1:18">
      <c r="A22" s="228">
        <v>17</v>
      </c>
      <c r="B22" s="221"/>
      <c r="C22" s="229" t="s">
        <v>60</v>
      </c>
      <c r="D22" s="127" t="s">
        <v>61</v>
      </c>
      <c r="E22" s="127" t="s">
        <v>21</v>
      </c>
      <c r="F22" s="230" t="s">
        <v>62</v>
      </c>
      <c r="G22" s="231">
        <v>2</v>
      </c>
      <c r="H22" s="231">
        <v>1</v>
      </c>
      <c r="I22" s="232">
        <v>213</v>
      </c>
      <c r="J22" s="221">
        <v>32</v>
      </c>
      <c r="K22" s="233">
        <v>103</v>
      </c>
      <c r="L22" s="234">
        <v>1.4041</v>
      </c>
      <c r="M22" s="235">
        <v>84</v>
      </c>
      <c r="N22" s="175" t="s">
        <v>23</v>
      </c>
      <c r="O22" s="137"/>
      <c r="P22" s="236"/>
      <c r="Q22" s="236"/>
      <c r="R22" s="237"/>
    </row>
    <row r="23" ht="35.15" customHeight="1" spans="1:18">
      <c r="A23" s="228">
        <v>18</v>
      </c>
      <c r="B23" s="221"/>
      <c r="C23" s="229" t="s">
        <v>63</v>
      </c>
      <c r="D23" s="127" t="s">
        <v>64</v>
      </c>
      <c r="E23" s="127" t="s">
        <v>65</v>
      </c>
      <c r="F23" s="230" t="s">
        <v>66</v>
      </c>
      <c r="G23" s="231">
        <v>1</v>
      </c>
      <c r="H23" s="231">
        <v>1</v>
      </c>
      <c r="I23" s="232">
        <v>111</v>
      </c>
      <c r="J23" s="221">
        <v>106</v>
      </c>
      <c r="K23" s="233">
        <v>123</v>
      </c>
      <c r="L23" s="234">
        <v>1.4472</v>
      </c>
      <c r="M23" s="235">
        <v>302</v>
      </c>
      <c r="N23" s="175" t="s">
        <v>23</v>
      </c>
      <c r="O23" s="137"/>
      <c r="P23" s="236"/>
      <c r="Q23" s="236"/>
      <c r="R23" s="237"/>
    </row>
    <row r="24" ht="35.15" customHeight="1" spans="1:18">
      <c r="A24" s="228">
        <v>19</v>
      </c>
      <c r="B24" s="221"/>
      <c r="C24" s="229" t="s">
        <v>67</v>
      </c>
      <c r="D24" s="127" t="s">
        <v>68</v>
      </c>
      <c r="E24" s="127" t="s">
        <v>65</v>
      </c>
      <c r="F24" s="230" t="s">
        <v>69</v>
      </c>
      <c r="G24" s="231">
        <v>1</v>
      </c>
      <c r="H24" s="231">
        <v>1</v>
      </c>
      <c r="I24" s="232">
        <v>77</v>
      </c>
      <c r="J24" s="221">
        <v>45</v>
      </c>
      <c r="K24" s="233">
        <v>42</v>
      </c>
      <c r="L24" s="234">
        <v>0.1455</v>
      </c>
      <c r="M24" s="235">
        <v>18.05</v>
      </c>
      <c r="N24" s="175" t="s">
        <v>23</v>
      </c>
      <c r="O24" s="137"/>
      <c r="P24" s="236"/>
      <c r="Q24" s="236"/>
      <c r="R24" s="237"/>
    </row>
    <row r="25" ht="35.15" customHeight="1" spans="1:18">
      <c r="A25" s="228">
        <v>20</v>
      </c>
      <c r="B25" s="221"/>
      <c r="C25" s="229" t="s">
        <v>70</v>
      </c>
      <c r="D25" s="127" t="s">
        <v>71</v>
      </c>
      <c r="E25" s="127" t="s">
        <v>65</v>
      </c>
      <c r="F25" s="230" t="s">
        <v>69</v>
      </c>
      <c r="G25" s="231">
        <v>1</v>
      </c>
      <c r="H25" s="231">
        <v>1</v>
      </c>
      <c r="I25" s="232">
        <v>44</v>
      </c>
      <c r="J25" s="221">
        <v>38</v>
      </c>
      <c r="K25" s="233">
        <v>21</v>
      </c>
      <c r="L25" s="234">
        <v>0.0351</v>
      </c>
      <c r="M25" s="235">
        <v>5.53</v>
      </c>
      <c r="N25" s="175" t="s">
        <v>23</v>
      </c>
      <c r="O25" s="137"/>
      <c r="P25" s="236"/>
      <c r="Q25" s="236"/>
      <c r="R25" s="237"/>
    </row>
    <row r="26" ht="35.15" customHeight="1" spans="1:18">
      <c r="A26" s="228">
        <v>21</v>
      </c>
      <c r="B26" s="221"/>
      <c r="C26" s="229" t="s">
        <v>72</v>
      </c>
      <c r="D26" s="127" t="s">
        <v>73</v>
      </c>
      <c r="E26" s="127" t="s">
        <v>74</v>
      </c>
      <c r="F26" s="230" t="s">
        <v>69</v>
      </c>
      <c r="G26" s="231">
        <v>1</v>
      </c>
      <c r="H26" s="231">
        <v>1</v>
      </c>
      <c r="I26" s="232">
        <v>63</v>
      </c>
      <c r="J26" s="221">
        <v>48</v>
      </c>
      <c r="K26" s="233">
        <v>16</v>
      </c>
      <c r="L26" s="234">
        <v>0.0484</v>
      </c>
      <c r="M26" s="235">
        <v>5.55</v>
      </c>
      <c r="N26" s="175" t="s">
        <v>23</v>
      </c>
      <c r="O26" s="137"/>
      <c r="P26" s="236"/>
      <c r="Q26" s="236"/>
      <c r="R26" s="237"/>
    </row>
    <row r="27" ht="35.15" customHeight="1" spans="1:18">
      <c r="A27" s="228">
        <v>22</v>
      </c>
      <c r="B27" s="221"/>
      <c r="C27" s="229" t="s">
        <v>75</v>
      </c>
      <c r="D27" s="127" t="s">
        <v>76</v>
      </c>
      <c r="E27" s="127" t="s">
        <v>65</v>
      </c>
      <c r="F27" s="230" t="s">
        <v>69</v>
      </c>
      <c r="G27" s="231">
        <v>1</v>
      </c>
      <c r="H27" s="231">
        <v>2</v>
      </c>
      <c r="I27" s="232">
        <v>60</v>
      </c>
      <c r="J27" s="221">
        <v>39</v>
      </c>
      <c r="K27" s="233">
        <v>24</v>
      </c>
      <c r="L27" s="234">
        <v>0.0562</v>
      </c>
      <c r="M27" s="235">
        <v>6.55</v>
      </c>
      <c r="N27" s="175" t="s">
        <v>23</v>
      </c>
      <c r="O27" s="137"/>
      <c r="P27" s="236"/>
      <c r="Q27" s="236"/>
      <c r="R27" s="237"/>
    </row>
    <row r="28" ht="35.15" customHeight="1" spans="1:18">
      <c r="A28" s="228">
        <v>23</v>
      </c>
      <c r="B28" s="221"/>
      <c r="C28" s="229" t="s">
        <v>77</v>
      </c>
      <c r="D28" s="127" t="s">
        <v>78</v>
      </c>
      <c r="E28" s="127" t="s">
        <v>79</v>
      </c>
      <c r="F28" s="230" t="s">
        <v>69</v>
      </c>
      <c r="G28" s="231">
        <v>1</v>
      </c>
      <c r="H28" s="231">
        <v>2</v>
      </c>
      <c r="I28" s="232">
        <v>0</v>
      </c>
      <c r="J28" s="221">
        <v>0</v>
      </c>
      <c r="K28" s="233">
        <v>0</v>
      </c>
      <c r="L28" s="234">
        <v>0</v>
      </c>
      <c r="M28" s="235">
        <v>0</v>
      </c>
      <c r="N28" s="175" t="s">
        <v>23</v>
      </c>
      <c r="O28" s="137"/>
      <c r="P28" s="236"/>
      <c r="Q28" s="236"/>
      <c r="R28" s="237"/>
    </row>
    <row r="29" ht="35.15" customHeight="1" spans="1:18">
      <c r="A29" s="228">
        <v>24</v>
      </c>
      <c r="B29" s="221"/>
      <c r="C29" s="229" t="s">
        <v>80</v>
      </c>
      <c r="D29" s="127" t="s">
        <v>81</v>
      </c>
      <c r="E29" s="127" t="s">
        <v>65</v>
      </c>
      <c r="F29" s="230" t="s">
        <v>69</v>
      </c>
      <c r="G29" s="231">
        <v>1</v>
      </c>
      <c r="H29" s="231">
        <v>2</v>
      </c>
      <c r="I29" s="232">
        <v>60</v>
      </c>
      <c r="J29" s="221">
        <v>41</v>
      </c>
      <c r="K29" s="233">
        <v>23</v>
      </c>
      <c r="L29" s="234">
        <v>0.0566</v>
      </c>
      <c r="M29" s="235">
        <v>13.35</v>
      </c>
      <c r="N29" s="175" t="s">
        <v>23</v>
      </c>
      <c r="O29" s="137"/>
      <c r="P29" s="236"/>
      <c r="Q29" s="236"/>
      <c r="R29" s="237"/>
    </row>
    <row r="30" ht="35.15" customHeight="1" spans="1:18">
      <c r="A30" s="228">
        <v>25</v>
      </c>
      <c r="B30" s="221"/>
      <c r="C30" s="229" t="s">
        <v>82</v>
      </c>
      <c r="D30" s="127" t="s">
        <v>83</v>
      </c>
      <c r="E30" s="127" t="s">
        <v>84</v>
      </c>
      <c r="F30" s="230" t="s">
        <v>85</v>
      </c>
      <c r="G30" s="231">
        <v>2</v>
      </c>
      <c r="H30" s="231">
        <v>2</v>
      </c>
      <c r="I30" s="232">
        <v>86</v>
      </c>
      <c r="J30" s="221">
        <v>62</v>
      </c>
      <c r="K30" s="233">
        <v>12</v>
      </c>
      <c r="L30" s="234">
        <v>0.128</v>
      </c>
      <c r="M30" s="235">
        <v>7.25</v>
      </c>
      <c r="N30" s="175" t="s">
        <v>23</v>
      </c>
      <c r="O30" s="137"/>
      <c r="P30" s="236"/>
      <c r="Q30" s="236"/>
      <c r="R30" s="237"/>
    </row>
    <row r="31" ht="35.15" customHeight="1" spans="1:18">
      <c r="A31" s="228">
        <v>26</v>
      </c>
      <c r="B31" s="221"/>
      <c r="C31" s="229" t="s">
        <v>86</v>
      </c>
      <c r="D31" s="127" t="s">
        <v>87</v>
      </c>
      <c r="E31" s="127" t="s">
        <v>88</v>
      </c>
      <c r="F31" s="230" t="s">
        <v>69</v>
      </c>
      <c r="G31" s="231">
        <v>1</v>
      </c>
      <c r="H31" s="231">
        <v>1</v>
      </c>
      <c r="I31" s="232">
        <v>62</v>
      </c>
      <c r="J31" s="221">
        <v>53</v>
      </c>
      <c r="K31" s="233">
        <v>43</v>
      </c>
      <c r="L31" s="234">
        <v>0.1413</v>
      </c>
      <c r="M31" s="235">
        <v>17</v>
      </c>
      <c r="N31" s="175" t="s">
        <v>23</v>
      </c>
      <c r="O31" s="137"/>
      <c r="P31" s="236"/>
      <c r="Q31" s="236"/>
      <c r="R31" s="237"/>
    </row>
    <row r="32" ht="35.15" customHeight="1" spans="1:18">
      <c r="A32" s="228">
        <v>27</v>
      </c>
      <c r="B32" s="221"/>
      <c r="C32" s="229" t="s">
        <v>89</v>
      </c>
      <c r="D32" s="127" t="s">
        <v>90</v>
      </c>
      <c r="E32" s="127" t="s">
        <v>91</v>
      </c>
      <c r="F32" s="230" t="s">
        <v>92</v>
      </c>
      <c r="G32" s="231">
        <v>1</v>
      </c>
      <c r="H32" s="231">
        <v>1</v>
      </c>
      <c r="I32" s="232">
        <v>0</v>
      </c>
      <c r="J32" s="221">
        <v>0</v>
      </c>
      <c r="K32" s="233">
        <v>0</v>
      </c>
      <c r="L32" s="234">
        <v>0</v>
      </c>
      <c r="M32" s="235">
        <v>0</v>
      </c>
      <c r="N32" s="175" t="s">
        <v>23</v>
      </c>
      <c r="O32" s="137"/>
      <c r="P32" s="236"/>
      <c r="Q32" s="236"/>
      <c r="R32" s="237"/>
    </row>
    <row r="33" ht="35.15" customHeight="1" spans="1:18">
      <c r="A33" s="228">
        <v>28</v>
      </c>
      <c r="B33" s="221"/>
      <c r="C33" s="229" t="s">
        <v>93</v>
      </c>
      <c r="D33" s="127" t="s">
        <v>94</v>
      </c>
      <c r="E33" s="127" t="s">
        <v>95</v>
      </c>
      <c r="F33" s="230" t="s">
        <v>96</v>
      </c>
      <c r="G33" s="231">
        <v>1</v>
      </c>
      <c r="H33" s="231">
        <v>2</v>
      </c>
      <c r="I33" s="232">
        <v>0</v>
      </c>
      <c r="J33" s="221">
        <v>0</v>
      </c>
      <c r="K33" s="233">
        <v>0</v>
      </c>
      <c r="L33" s="234">
        <v>0</v>
      </c>
      <c r="M33" s="235">
        <v>0</v>
      </c>
      <c r="N33" s="175" t="s">
        <v>23</v>
      </c>
      <c r="O33" s="137"/>
      <c r="P33" s="236"/>
      <c r="Q33" s="236"/>
      <c r="R33" s="237"/>
    </row>
    <row r="34" ht="35.15" customHeight="1" spans="1:18">
      <c r="A34" s="228">
        <v>29</v>
      </c>
      <c r="B34" s="221"/>
      <c r="C34" s="229" t="s">
        <v>97</v>
      </c>
      <c r="D34" s="127" t="s">
        <v>98</v>
      </c>
      <c r="E34" s="127" t="s">
        <v>99</v>
      </c>
      <c r="F34" s="230" t="s">
        <v>100</v>
      </c>
      <c r="G34" s="231">
        <v>1</v>
      </c>
      <c r="H34" s="231">
        <v>1</v>
      </c>
      <c r="I34" s="232">
        <v>0</v>
      </c>
      <c r="J34" s="221">
        <v>0</v>
      </c>
      <c r="K34" s="233">
        <v>0</v>
      </c>
      <c r="L34" s="234">
        <v>0</v>
      </c>
      <c r="M34" s="235">
        <v>0</v>
      </c>
      <c r="N34" s="175" t="s">
        <v>23</v>
      </c>
      <c r="O34" s="137"/>
      <c r="P34" s="236"/>
      <c r="Q34" s="236"/>
      <c r="R34" s="237"/>
    </row>
    <row r="35" ht="35.15" customHeight="1" spans="1:18">
      <c r="A35" s="228">
        <v>30</v>
      </c>
      <c r="B35" s="221"/>
      <c r="C35" s="229" t="s">
        <v>101</v>
      </c>
      <c r="D35" s="127" t="s">
        <v>102</v>
      </c>
      <c r="E35" s="127" t="s">
        <v>103</v>
      </c>
      <c r="F35" s="230" t="s">
        <v>104</v>
      </c>
      <c r="G35" s="231">
        <v>1</v>
      </c>
      <c r="H35" s="231">
        <v>30</v>
      </c>
      <c r="I35" s="232">
        <v>0</v>
      </c>
      <c r="J35" s="221">
        <v>0</v>
      </c>
      <c r="K35" s="233">
        <v>0</v>
      </c>
      <c r="L35" s="234">
        <v>0</v>
      </c>
      <c r="M35" s="235">
        <v>0</v>
      </c>
      <c r="N35" s="175" t="s">
        <v>23</v>
      </c>
      <c r="O35" s="137"/>
      <c r="P35" s="236"/>
      <c r="Q35" s="236"/>
      <c r="R35" s="237"/>
    </row>
    <row r="36" ht="35.15" customHeight="1" spans="1:18">
      <c r="A36" s="228">
        <v>31</v>
      </c>
      <c r="B36" s="221"/>
      <c r="C36" s="229" t="s">
        <v>101</v>
      </c>
      <c r="D36" s="127" t="s">
        <v>102</v>
      </c>
      <c r="E36" s="127" t="s">
        <v>103</v>
      </c>
      <c r="F36" s="230" t="s">
        <v>104</v>
      </c>
      <c r="G36" s="231">
        <v>1</v>
      </c>
      <c r="H36" s="231">
        <v>50</v>
      </c>
      <c r="I36" s="232">
        <v>0</v>
      </c>
      <c r="J36" s="221">
        <v>0</v>
      </c>
      <c r="K36" s="233">
        <v>0</v>
      </c>
      <c r="L36" s="234">
        <v>0</v>
      </c>
      <c r="M36" s="235">
        <v>0</v>
      </c>
      <c r="N36" s="175" t="s">
        <v>23</v>
      </c>
      <c r="O36" s="137"/>
      <c r="P36" s="236"/>
      <c r="Q36" s="236"/>
      <c r="R36" s="237"/>
    </row>
    <row r="37" ht="35.15" customHeight="1" spans="1:18">
      <c r="A37" s="228">
        <v>32</v>
      </c>
      <c r="B37" s="221"/>
      <c r="C37" s="229" t="s">
        <v>105</v>
      </c>
      <c r="D37" s="127" t="s">
        <v>106</v>
      </c>
      <c r="E37" s="127" t="s">
        <v>107</v>
      </c>
      <c r="F37" s="230" t="s">
        <v>92</v>
      </c>
      <c r="G37" s="231">
        <v>1</v>
      </c>
      <c r="H37" s="231">
        <v>50</v>
      </c>
      <c r="I37" s="232">
        <v>0</v>
      </c>
      <c r="J37" s="221">
        <v>0</v>
      </c>
      <c r="K37" s="233">
        <v>0</v>
      </c>
      <c r="L37" s="234">
        <v>0</v>
      </c>
      <c r="M37" s="235">
        <v>0</v>
      </c>
      <c r="N37" s="175" t="s">
        <v>23</v>
      </c>
      <c r="O37" s="137"/>
      <c r="P37" s="236"/>
      <c r="Q37" s="236"/>
      <c r="R37" s="237"/>
    </row>
    <row r="38" ht="35.15" customHeight="1" spans="1:18">
      <c r="A38" s="228">
        <v>33</v>
      </c>
      <c r="B38" s="221"/>
      <c r="C38" s="229" t="s">
        <v>108</v>
      </c>
      <c r="D38" s="127" t="s">
        <v>109</v>
      </c>
      <c r="E38" s="127" t="s">
        <v>110</v>
      </c>
      <c r="F38" s="230" t="s">
        <v>111</v>
      </c>
      <c r="G38" s="231">
        <v>1</v>
      </c>
      <c r="H38" s="231">
        <v>1</v>
      </c>
      <c r="I38" s="232">
        <v>0</v>
      </c>
      <c r="J38" s="221">
        <v>0</v>
      </c>
      <c r="K38" s="233">
        <v>0</v>
      </c>
      <c r="L38" s="234">
        <v>0</v>
      </c>
      <c r="M38" s="235">
        <v>0</v>
      </c>
      <c r="N38" s="175" t="s">
        <v>23</v>
      </c>
      <c r="O38" s="137"/>
      <c r="P38" s="236"/>
      <c r="Q38" s="236"/>
      <c r="R38" s="237"/>
    </row>
    <row r="39" ht="35.15" customHeight="1" spans="1:18">
      <c r="A39" s="228">
        <v>34</v>
      </c>
      <c r="B39" s="221"/>
      <c r="C39" s="229" t="s">
        <v>112</v>
      </c>
      <c r="D39" s="127" t="s">
        <v>113</v>
      </c>
      <c r="E39" s="127" t="s">
        <v>65</v>
      </c>
      <c r="F39" s="230" t="s">
        <v>114</v>
      </c>
      <c r="G39" s="231">
        <v>1</v>
      </c>
      <c r="H39" s="231">
        <v>3</v>
      </c>
      <c r="I39" s="232">
        <v>0</v>
      </c>
      <c r="J39" s="221">
        <v>0</v>
      </c>
      <c r="K39" s="233">
        <v>0</v>
      </c>
      <c r="L39" s="234">
        <v>0</v>
      </c>
      <c r="M39" s="235">
        <v>0</v>
      </c>
      <c r="N39" s="175" t="s">
        <v>23</v>
      </c>
      <c r="O39" s="137"/>
      <c r="P39" s="236"/>
      <c r="Q39" s="236"/>
      <c r="R39" s="237"/>
    </row>
    <row r="40" ht="35.15" customHeight="1" spans="1:18">
      <c r="A40" s="228">
        <v>35</v>
      </c>
      <c r="B40" s="221"/>
      <c r="C40" s="229" t="s">
        <v>115</v>
      </c>
      <c r="D40" s="127" t="s">
        <v>116</v>
      </c>
      <c r="E40" s="127" t="s">
        <v>110</v>
      </c>
      <c r="F40" s="230" t="s">
        <v>117</v>
      </c>
      <c r="G40" s="231">
        <v>1</v>
      </c>
      <c r="H40" s="231">
        <v>2</v>
      </c>
      <c r="I40" s="232">
        <v>0</v>
      </c>
      <c r="J40" s="221">
        <v>0</v>
      </c>
      <c r="K40" s="233">
        <v>0</v>
      </c>
      <c r="L40" s="234">
        <v>0</v>
      </c>
      <c r="M40" s="235">
        <v>0</v>
      </c>
      <c r="N40" s="175" t="s">
        <v>23</v>
      </c>
      <c r="O40" s="137"/>
      <c r="P40" s="236"/>
      <c r="Q40" s="236"/>
      <c r="R40" s="237"/>
    </row>
    <row r="41" ht="35.15" customHeight="1" spans="1:18">
      <c r="A41" s="228">
        <v>36</v>
      </c>
      <c r="B41" s="221"/>
      <c r="C41" s="229" t="s">
        <v>118</v>
      </c>
      <c r="D41" s="127" t="s">
        <v>119</v>
      </c>
      <c r="E41" s="127" t="s">
        <v>88</v>
      </c>
      <c r="F41" s="230" t="s">
        <v>120</v>
      </c>
      <c r="G41" s="231">
        <v>1</v>
      </c>
      <c r="H41" s="231">
        <v>1</v>
      </c>
      <c r="I41" s="232">
        <v>0</v>
      </c>
      <c r="J41" s="221">
        <v>0</v>
      </c>
      <c r="K41" s="233">
        <v>0</v>
      </c>
      <c r="L41" s="234">
        <v>0</v>
      </c>
      <c r="M41" s="235">
        <v>0</v>
      </c>
      <c r="N41" s="175" t="s">
        <v>23</v>
      </c>
      <c r="O41" s="137"/>
      <c r="P41" s="236"/>
      <c r="Q41" s="236"/>
      <c r="R41" s="237"/>
    </row>
    <row r="42" ht="35.15" customHeight="1" spans="1:18">
      <c r="A42" s="228">
        <v>37</v>
      </c>
      <c r="B42" s="221"/>
      <c r="C42" s="229" t="s">
        <v>121</v>
      </c>
      <c r="D42" s="127" t="s">
        <v>122</v>
      </c>
      <c r="E42" s="127" t="s">
        <v>123</v>
      </c>
      <c r="F42" s="230" t="s">
        <v>124</v>
      </c>
      <c r="G42" s="231">
        <v>1</v>
      </c>
      <c r="H42" s="231">
        <v>2</v>
      </c>
      <c r="I42" s="232">
        <v>0</v>
      </c>
      <c r="J42" s="221">
        <v>0</v>
      </c>
      <c r="K42" s="233">
        <v>0</v>
      </c>
      <c r="L42" s="234">
        <v>0</v>
      </c>
      <c r="M42" s="235">
        <v>0</v>
      </c>
      <c r="N42" s="175" t="s">
        <v>23</v>
      </c>
      <c r="O42" s="137"/>
      <c r="P42" s="236"/>
      <c r="Q42" s="236"/>
      <c r="R42" s="237"/>
    </row>
    <row r="43" ht="35.15" customHeight="1" spans="1:18">
      <c r="A43" s="228">
        <v>38</v>
      </c>
      <c r="B43" s="221"/>
      <c r="C43" s="229" t="s">
        <v>125</v>
      </c>
      <c r="D43" s="127" t="s">
        <v>126</v>
      </c>
      <c r="E43" s="127" t="s">
        <v>127</v>
      </c>
      <c r="F43" s="230" t="s">
        <v>128</v>
      </c>
      <c r="G43" s="231">
        <v>1</v>
      </c>
      <c r="H43" s="231">
        <v>50</v>
      </c>
      <c r="I43" s="232">
        <v>34</v>
      </c>
      <c r="J43" s="221">
        <v>34</v>
      </c>
      <c r="K43" s="233">
        <v>25</v>
      </c>
      <c r="L43" s="234">
        <v>0.0289</v>
      </c>
      <c r="M43" s="235">
        <v>23.8</v>
      </c>
      <c r="N43" s="175" t="s">
        <v>23</v>
      </c>
      <c r="O43" s="137"/>
      <c r="P43" s="236"/>
      <c r="Q43" s="236"/>
      <c r="R43" s="237"/>
    </row>
    <row r="44" ht="35.15" customHeight="1" spans="1:18">
      <c r="A44" s="228">
        <v>39</v>
      </c>
      <c r="B44" s="221"/>
      <c r="C44" s="229" t="s">
        <v>125</v>
      </c>
      <c r="D44" s="127" t="s">
        <v>126</v>
      </c>
      <c r="E44" s="127" t="s">
        <v>127</v>
      </c>
      <c r="F44" s="230" t="s">
        <v>128</v>
      </c>
      <c r="G44" s="231">
        <v>1</v>
      </c>
      <c r="H44" s="231">
        <v>50</v>
      </c>
      <c r="I44" s="232">
        <v>34</v>
      </c>
      <c r="J44" s="221">
        <v>25</v>
      </c>
      <c r="K44" s="233">
        <v>20</v>
      </c>
      <c r="L44" s="234">
        <v>0.017</v>
      </c>
      <c r="M44" s="235">
        <v>10.4</v>
      </c>
      <c r="N44" s="175" t="s">
        <v>23</v>
      </c>
      <c r="O44" s="137"/>
      <c r="P44" s="236"/>
      <c r="Q44" s="236"/>
      <c r="R44" s="237"/>
    </row>
    <row r="45" ht="35.15" customHeight="1" spans="1:18">
      <c r="A45" s="228">
        <v>40</v>
      </c>
      <c r="B45" s="221"/>
      <c r="C45" s="229" t="s">
        <v>129</v>
      </c>
      <c r="D45" s="127" t="s">
        <v>130</v>
      </c>
      <c r="E45" s="127" t="s">
        <v>65</v>
      </c>
      <c r="F45" s="230" t="s">
        <v>131</v>
      </c>
      <c r="G45" s="231">
        <v>1</v>
      </c>
      <c r="H45" s="231">
        <v>1</v>
      </c>
      <c r="I45" s="232">
        <v>63</v>
      </c>
      <c r="J45" s="221">
        <v>54</v>
      </c>
      <c r="K45" s="233">
        <v>30</v>
      </c>
      <c r="L45" s="234">
        <v>0.1021</v>
      </c>
      <c r="M45" s="235">
        <v>16</v>
      </c>
      <c r="N45" s="175" t="s">
        <v>23</v>
      </c>
      <c r="O45" s="137"/>
      <c r="P45" s="236"/>
      <c r="Q45" s="236"/>
      <c r="R45" s="237"/>
    </row>
    <row r="46" ht="35.15" customHeight="1" spans="1:18">
      <c r="A46" s="228">
        <v>41</v>
      </c>
      <c r="B46" s="221"/>
      <c r="C46" s="229" t="s">
        <v>132</v>
      </c>
      <c r="D46" s="127" t="s">
        <v>133</v>
      </c>
      <c r="E46" s="127" t="s">
        <v>134</v>
      </c>
      <c r="F46" s="230" t="s">
        <v>135</v>
      </c>
      <c r="G46" s="231">
        <v>1</v>
      </c>
      <c r="H46" s="231">
        <v>5</v>
      </c>
      <c r="I46" s="232">
        <v>35</v>
      </c>
      <c r="J46" s="221">
        <v>21</v>
      </c>
      <c r="K46" s="233">
        <v>25</v>
      </c>
      <c r="L46" s="234">
        <v>0.0184</v>
      </c>
      <c r="M46" s="235">
        <v>1.85</v>
      </c>
      <c r="N46" s="175" t="s">
        <v>23</v>
      </c>
      <c r="O46" s="137"/>
      <c r="P46" s="236"/>
      <c r="Q46" s="236"/>
      <c r="R46" s="237"/>
    </row>
    <row r="47" ht="35.15" customHeight="1" spans="1:18">
      <c r="A47" s="228">
        <v>42</v>
      </c>
      <c r="B47" s="221"/>
      <c r="C47" s="229" t="s">
        <v>136</v>
      </c>
      <c r="D47" s="127" t="s">
        <v>137</v>
      </c>
      <c r="E47" s="127" t="s">
        <v>138</v>
      </c>
      <c r="F47" s="230" t="s">
        <v>139</v>
      </c>
      <c r="G47" s="231">
        <v>1</v>
      </c>
      <c r="H47" s="231">
        <v>100</v>
      </c>
      <c r="I47" s="232">
        <v>40</v>
      </c>
      <c r="J47" s="221">
        <v>32</v>
      </c>
      <c r="K47" s="233">
        <v>32</v>
      </c>
      <c r="L47" s="234">
        <v>0.041</v>
      </c>
      <c r="M47" s="235">
        <v>14.8</v>
      </c>
      <c r="N47" s="175" t="s">
        <v>23</v>
      </c>
      <c r="O47" s="137"/>
      <c r="P47" s="236"/>
      <c r="Q47" s="236"/>
      <c r="R47" s="237"/>
    </row>
    <row r="48" ht="30.75" customHeight="1" spans="1:18">
      <c r="A48" s="238" t="s">
        <v>140</v>
      </c>
      <c r="B48" s="60"/>
      <c r="C48" s="60"/>
      <c r="D48" s="60"/>
      <c r="E48" s="60"/>
      <c r="F48" s="60"/>
      <c r="G48" s="118"/>
      <c r="H48" s="195"/>
      <c r="I48" s="195"/>
      <c r="J48" s="195"/>
      <c r="K48" s="195"/>
      <c r="L48" s="239">
        <f xml:space="preserve">SUM(L6:L47)</f>
        <v>93.3413</v>
      </c>
      <c r="M48" s="240">
        <f xml:space="preserve">SUM(M6:M47)</f>
        <v>11717.13</v>
      </c>
      <c r="N48" s="241"/>
      <c r="O48" s="242">
        <v>115</v>
      </c>
      <c r="P48" s="242">
        <v>26802</v>
      </c>
      <c r="Q48" s="243"/>
      <c r="R48" s="137"/>
    </row>
    <row r="49" spans="1:18">
      <c r="A49" s="244"/>
      <c r="B49" s="244"/>
      <c r="C49" s="244"/>
      <c r="D49" s="245"/>
      <c r="E49" s="245"/>
      <c r="F49" s="246"/>
      <c r="G49" s="246"/>
      <c r="H49" s="246"/>
      <c r="I49" s="246"/>
      <c r="J49" s="246"/>
      <c r="K49" s="246"/>
      <c r="L49" s="246"/>
      <c r="M49" s="244"/>
      <c r="N49" s="137"/>
      <c r="O49" s="137"/>
      <c r="P49" s="137"/>
      <c r="Q49" s="137"/>
      <c r="R49" s="137"/>
    </row>
    <row r="50" spans="1:18">
      <c r="A50" s="247" t="s">
        <v>141</v>
      </c>
      <c r="B50" s="244"/>
      <c r="C50" s="244"/>
      <c r="D50" s="245"/>
      <c r="E50" s="245"/>
      <c r="F50" s="246"/>
      <c r="G50" s="246"/>
      <c r="H50" s="246"/>
      <c r="I50" s="246"/>
      <c r="J50" s="246"/>
      <c r="K50" s="246"/>
      <c r="L50" s="246"/>
      <c r="M50" s="244"/>
      <c r="N50" s="137"/>
      <c r="O50" s="137"/>
      <c r="P50" s="137"/>
      <c r="Q50" s="137"/>
      <c r="R50" s="137"/>
    </row>
  </sheetData>
  <mergeCells count="6">
    <mergeCell ref="A1:M1"/>
    <mergeCell ref="A2:M2"/>
    <mergeCell ref="C4:D4"/>
    <mergeCell ref="I4:L4"/>
    <mergeCell ref="A48:G48"/>
    <mergeCell ref="J53:M53"/>
  </mergeCells>
  <printOptions horizontalCentered="1"/>
  <pageMargins left="0.17" right="0.16" top="0.4" bottom="0.354330708661417" header="0.44" footer="0.15748031496063"/>
  <pageSetup paperSize="9" scale="8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J53"/>
  <sheetViews>
    <sheetView view="pageBreakPreview" zoomScaleNormal="100" workbookViewId="0">
      <selection activeCell="N5" sqref="N5"/>
    </sheetView>
  </sheetViews>
  <sheetFormatPr defaultColWidth="9" defaultRowHeight="14.25"/>
  <cols>
    <col min="1" max="1" width="9.5" style="181" customWidth="1"/>
    <col min="2" max="2" width="10.75" style="181" customWidth="1"/>
    <col min="3" max="3" width="10" style="182" customWidth="1"/>
    <col min="4" max="4" width="13.375" style="181" customWidth="1"/>
    <col min="5" max="5" width="12.625" style="183" customWidth="1"/>
    <col min="6" max="6" width="15.75" style="181" customWidth="1"/>
    <col min="7" max="7" width="18.625" style="181" customWidth="1"/>
    <col min="8" max="8" width="15.125" style="181" customWidth="1"/>
    <col min="9" max="9" width="15.75" style="181" customWidth="1"/>
    <col min="10" max="10" width="16.25" style="181" customWidth="1"/>
    <col min="11" max="16384" width="9" style="181" customWidth="1"/>
  </cols>
  <sheetData>
    <row r="1" ht="39" customHeight="1" spans="1:10">
      <c r="A1" s="184" t="s">
        <v>142</v>
      </c>
    </row>
    <row r="2" ht="31.5" customHeight="1"/>
    <row r="3" ht="32.25" customHeight="1" spans="1:10">
      <c r="G3" s="185" t="s">
        <v>143</v>
      </c>
    </row>
    <row r="4" ht="32.25" customHeight="1" spans="1:10">
      <c r="G4" s="185" t="s">
        <v>144</v>
      </c>
    </row>
    <row r="5" ht="34.5" customHeight="1" spans="1:10">
      <c r="G5" s="185" t="s">
        <v>145</v>
      </c>
    </row>
    <row r="6" ht="24.75" customHeight="1" spans="1:10">
      <c r="A6" s="186" t="s">
        <v>1</v>
      </c>
      <c r="B6" s="187"/>
      <c r="C6" s="187"/>
      <c r="D6" s="187"/>
      <c r="E6" s="187"/>
      <c r="F6" s="188"/>
    </row>
    <row r="7" ht="18" customHeight="1" spans="1:10">
      <c r="A7" s="189"/>
      <c r="B7" s="190"/>
      <c r="C7" s="191"/>
      <c r="D7" s="192"/>
      <c r="E7" s="193"/>
      <c r="F7" s="194"/>
      <c r="G7" s="192"/>
    </row>
    <row r="8" ht="33" customHeight="1" spans="1:10">
      <c r="A8" s="195" t="s">
        <v>2</v>
      </c>
      <c r="B8" s="196" t="s">
        <v>4</v>
      </c>
      <c r="C8" s="118"/>
      <c r="D8" s="196" t="s">
        <v>146</v>
      </c>
      <c r="E8" s="196" t="s">
        <v>147</v>
      </c>
      <c r="F8" s="197" t="s">
        <v>148</v>
      </c>
      <c r="G8" s="196" t="s">
        <v>149</v>
      </c>
      <c r="H8" s="196" t="s">
        <v>150</v>
      </c>
      <c r="I8" s="196" t="s">
        <v>151</v>
      </c>
      <c r="J8" s="118"/>
    </row>
    <row r="9" ht="19" customHeight="1" spans="1:10">
      <c r="A9" s="198"/>
      <c r="B9" s="199" t="s">
        <v>12</v>
      </c>
      <c r="C9" s="199" t="s">
        <v>13</v>
      </c>
      <c r="D9" s="198"/>
      <c r="E9" s="198"/>
      <c r="F9" s="200"/>
      <c r="G9" s="198"/>
      <c r="H9" s="198"/>
      <c r="I9" s="195" t="s">
        <v>152</v>
      </c>
      <c r="J9" s="195" t="s">
        <v>153</v>
      </c>
    </row>
    <row r="10" ht="42.75" customHeight="1" spans="1:10">
      <c r="A10" s="201">
        <v>1</v>
      </c>
      <c r="B10" s="202" t="s">
        <v>19</v>
      </c>
      <c r="C10" s="203" t="s">
        <v>20</v>
      </c>
      <c r="D10" s="202" t="s">
        <v>21</v>
      </c>
      <c r="E10" s="204" t="s">
        <v>22</v>
      </c>
      <c r="F10" s="205">
        <v>26</v>
      </c>
      <c r="G10" s="206">
        <v>1</v>
      </c>
      <c r="H10" s="206">
        <v>26</v>
      </c>
      <c r="I10" s="207">
        <v>1465.159</v>
      </c>
      <c r="J10" s="207">
        <v>38094.13</v>
      </c>
    </row>
    <row r="11" ht="42.75" customHeight="1" spans="1:10">
      <c r="A11" s="201">
        <v>2</v>
      </c>
      <c r="B11" s="202" t="s">
        <v>24</v>
      </c>
      <c r="C11" s="203" t="s">
        <v>25</v>
      </c>
      <c r="D11" s="202" t="s">
        <v>26</v>
      </c>
      <c r="E11" s="204" t="s">
        <v>27</v>
      </c>
      <c r="F11" s="205">
        <v>32</v>
      </c>
      <c r="G11" s="206">
        <v>200</v>
      </c>
      <c r="H11" s="206">
        <v>6400</v>
      </c>
      <c r="I11" s="207">
        <v>0.42</v>
      </c>
      <c r="J11" s="207">
        <v>2688</v>
      </c>
    </row>
    <row r="12" ht="42.75" customHeight="1" spans="1:10">
      <c r="A12" s="201">
        <v>3</v>
      </c>
      <c r="B12" s="202" t="s">
        <v>28</v>
      </c>
      <c r="C12" s="203" t="s">
        <v>29</v>
      </c>
      <c r="D12" s="202" t="s">
        <v>30</v>
      </c>
      <c r="E12" s="204" t="s">
        <v>31</v>
      </c>
      <c r="F12" s="205">
        <v>8</v>
      </c>
      <c r="G12" s="206">
        <v>2500</v>
      </c>
      <c r="H12" s="206">
        <v>20000</v>
      </c>
      <c r="I12" s="207">
        <v>0.06</v>
      </c>
      <c r="J12" s="207">
        <v>1200</v>
      </c>
    </row>
    <row r="13" ht="42.75" customHeight="1" spans="1:10">
      <c r="A13" s="201">
        <v>4</v>
      </c>
      <c r="B13" s="202" t="s">
        <v>32</v>
      </c>
      <c r="C13" s="203" t="s">
        <v>33</v>
      </c>
      <c r="D13" s="202" t="s">
        <v>21</v>
      </c>
      <c r="E13" s="204" t="s">
        <v>34</v>
      </c>
      <c r="F13" s="205">
        <v>2</v>
      </c>
      <c r="G13" s="206">
        <v>1</v>
      </c>
      <c r="H13" s="206">
        <v>1</v>
      </c>
      <c r="I13" s="207">
        <v>1127</v>
      </c>
      <c r="J13" s="207">
        <v>1127</v>
      </c>
    </row>
    <row r="14" ht="42.75" customHeight="1" spans="1:10">
      <c r="A14" s="201">
        <v>5</v>
      </c>
      <c r="B14" s="202" t="s">
        <v>35</v>
      </c>
      <c r="C14" s="203" t="s">
        <v>36</v>
      </c>
      <c r="D14" s="202" t="s">
        <v>21</v>
      </c>
      <c r="E14" s="204" t="s">
        <v>37</v>
      </c>
      <c r="F14" s="205">
        <v>2</v>
      </c>
      <c r="G14" s="206">
        <v>1</v>
      </c>
      <c r="H14" s="206">
        <v>1</v>
      </c>
      <c r="I14" s="207">
        <v>911</v>
      </c>
      <c r="J14" s="207">
        <v>911</v>
      </c>
    </row>
    <row r="15" ht="42.75" customHeight="1" spans="1:10">
      <c r="A15" s="201">
        <v>6</v>
      </c>
      <c r="B15" s="202" t="s">
        <v>38</v>
      </c>
      <c r="C15" s="203" t="s">
        <v>39</v>
      </c>
      <c r="D15" s="202" t="s">
        <v>21</v>
      </c>
      <c r="E15" s="204" t="s">
        <v>34</v>
      </c>
      <c r="F15" s="205">
        <v>3</v>
      </c>
      <c r="G15" s="206">
        <v>1</v>
      </c>
      <c r="H15" s="206">
        <v>1</v>
      </c>
      <c r="I15" s="207">
        <v>1127</v>
      </c>
      <c r="J15" s="207">
        <v>1127</v>
      </c>
    </row>
    <row r="16" ht="42.75" customHeight="1" spans="1:10">
      <c r="A16" s="201">
        <v>7</v>
      </c>
      <c r="B16" s="202" t="s">
        <v>40</v>
      </c>
      <c r="C16" s="203" t="s">
        <v>41</v>
      </c>
      <c r="D16" s="202" t="s">
        <v>21</v>
      </c>
      <c r="E16" s="204" t="s">
        <v>34</v>
      </c>
      <c r="F16" s="205">
        <v>1</v>
      </c>
      <c r="G16" s="206">
        <v>1</v>
      </c>
      <c r="H16" s="206">
        <v>1</v>
      </c>
      <c r="I16" s="207">
        <v>965</v>
      </c>
      <c r="J16" s="207">
        <v>965</v>
      </c>
    </row>
    <row r="17" ht="42.75" customHeight="1" spans="1:10">
      <c r="A17" s="201">
        <v>8</v>
      </c>
      <c r="B17" s="202" t="s">
        <v>40</v>
      </c>
      <c r="C17" s="203" t="s">
        <v>42</v>
      </c>
      <c r="D17" s="202" t="s">
        <v>21</v>
      </c>
      <c r="E17" s="204" t="s">
        <v>34</v>
      </c>
      <c r="F17" s="205">
        <v>3</v>
      </c>
      <c r="G17" s="206">
        <v>1</v>
      </c>
      <c r="H17" s="206">
        <v>1</v>
      </c>
      <c r="I17" s="207">
        <v>965</v>
      </c>
      <c r="J17" s="207">
        <v>965</v>
      </c>
    </row>
    <row r="18" ht="42.75" customHeight="1" spans="1:10">
      <c r="A18" s="201">
        <v>9</v>
      </c>
      <c r="B18" s="202" t="s">
        <v>40</v>
      </c>
      <c r="C18" s="203" t="s">
        <v>43</v>
      </c>
      <c r="D18" s="202" t="s">
        <v>21</v>
      </c>
      <c r="E18" s="204" t="s">
        <v>34</v>
      </c>
      <c r="F18" s="205">
        <v>1</v>
      </c>
      <c r="G18" s="206">
        <v>1</v>
      </c>
      <c r="H18" s="206">
        <v>1</v>
      </c>
      <c r="I18" s="207">
        <v>965</v>
      </c>
      <c r="J18" s="207">
        <v>965</v>
      </c>
    </row>
    <row r="19" ht="42.75" customHeight="1" spans="1:10">
      <c r="A19" s="201">
        <v>10</v>
      </c>
      <c r="B19" s="202" t="s">
        <v>40</v>
      </c>
      <c r="C19" s="203" t="s">
        <v>44</v>
      </c>
      <c r="D19" s="202" t="s">
        <v>21</v>
      </c>
      <c r="E19" s="204" t="s">
        <v>34</v>
      </c>
      <c r="F19" s="205">
        <v>1</v>
      </c>
      <c r="G19" s="206">
        <v>1</v>
      </c>
      <c r="H19" s="206">
        <v>1</v>
      </c>
      <c r="I19" s="207">
        <v>965</v>
      </c>
      <c r="J19" s="207">
        <v>965</v>
      </c>
    </row>
    <row r="20" ht="42.75" customHeight="1" spans="1:10">
      <c r="A20" s="201">
        <v>11</v>
      </c>
      <c r="B20" s="202" t="s">
        <v>40</v>
      </c>
      <c r="C20" s="203" t="s">
        <v>45</v>
      </c>
      <c r="D20" s="202" t="s">
        <v>21</v>
      </c>
      <c r="E20" s="204" t="s">
        <v>34</v>
      </c>
      <c r="F20" s="205">
        <v>1</v>
      </c>
      <c r="G20" s="206">
        <v>1</v>
      </c>
      <c r="H20" s="206">
        <v>1</v>
      </c>
      <c r="I20" s="207">
        <v>965</v>
      </c>
      <c r="J20" s="207">
        <v>965</v>
      </c>
    </row>
    <row r="21" ht="42.75" customHeight="1" spans="1:10">
      <c r="A21" s="201">
        <v>12</v>
      </c>
      <c r="B21" s="202" t="s">
        <v>40</v>
      </c>
      <c r="C21" s="203" t="s">
        <v>46</v>
      </c>
      <c r="D21" s="202" t="s">
        <v>21</v>
      </c>
      <c r="E21" s="204" t="s">
        <v>34</v>
      </c>
      <c r="F21" s="205">
        <v>1</v>
      </c>
      <c r="G21" s="206">
        <v>1</v>
      </c>
      <c r="H21" s="206">
        <v>1</v>
      </c>
      <c r="I21" s="207">
        <v>965</v>
      </c>
      <c r="J21" s="207">
        <v>965</v>
      </c>
    </row>
    <row r="22" ht="42.75" customHeight="1" spans="1:10">
      <c r="A22" s="201">
        <v>13</v>
      </c>
      <c r="B22" s="202" t="s">
        <v>47</v>
      </c>
      <c r="C22" s="203" t="s">
        <v>48</v>
      </c>
      <c r="D22" s="202" t="s">
        <v>21</v>
      </c>
      <c r="E22" s="204" t="s">
        <v>49</v>
      </c>
      <c r="F22" s="205">
        <v>1</v>
      </c>
      <c r="G22" s="206">
        <v>1</v>
      </c>
      <c r="H22" s="206">
        <v>1</v>
      </c>
      <c r="I22" s="207">
        <v>911</v>
      </c>
      <c r="J22" s="207">
        <v>911</v>
      </c>
    </row>
    <row r="23" ht="42.75" customHeight="1" spans="1:10">
      <c r="A23" s="201">
        <v>14</v>
      </c>
      <c r="B23" s="202" t="s">
        <v>50</v>
      </c>
      <c r="C23" s="203" t="s">
        <v>51</v>
      </c>
      <c r="D23" s="202" t="s">
        <v>21</v>
      </c>
      <c r="E23" s="204" t="s">
        <v>34</v>
      </c>
      <c r="F23" s="205">
        <v>1</v>
      </c>
      <c r="G23" s="206">
        <v>1</v>
      </c>
      <c r="H23" s="206">
        <v>1</v>
      </c>
      <c r="I23" s="207">
        <v>965</v>
      </c>
      <c r="J23" s="207">
        <v>965</v>
      </c>
    </row>
    <row r="24" ht="42.75" customHeight="1" spans="1:10">
      <c r="A24" s="201">
        <v>15</v>
      </c>
      <c r="B24" s="202" t="s">
        <v>52</v>
      </c>
      <c r="C24" s="203" t="s">
        <v>53</v>
      </c>
      <c r="D24" s="202" t="s">
        <v>54</v>
      </c>
      <c r="E24" s="204" t="s">
        <v>55</v>
      </c>
      <c r="F24" s="205">
        <v>3</v>
      </c>
      <c r="G24" s="206">
        <v>1</v>
      </c>
      <c r="H24" s="206">
        <v>1</v>
      </c>
      <c r="I24" s="207">
        <v>732</v>
      </c>
      <c r="J24" s="207">
        <v>732</v>
      </c>
    </row>
    <row r="25" ht="42.75" customHeight="1" spans="1:10">
      <c r="A25" s="201">
        <v>16</v>
      </c>
      <c r="B25" s="202" t="s">
        <v>56</v>
      </c>
      <c r="C25" s="203" t="s">
        <v>57</v>
      </c>
      <c r="D25" s="202" t="s">
        <v>58</v>
      </c>
      <c r="E25" s="204" t="s">
        <v>59</v>
      </c>
      <c r="F25" s="205">
        <v>1</v>
      </c>
      <c r="G25" s="206">
        <v>1</v>
      </c>
      <c r="H25" s="206">
        <v>1</v>
      </c>
      <c r="I25" s="207">
        <v>847</v>
      </c>
      <c r="J25" s="207">
        <v>847</v>
      </c>
    </row>
    <row r="26" ht="42.75" customHeight="1" spans="1:10">
      <c r="A26" s="201">
        <v>17</v>
      </c>
      <c r="B26" s="202" t="s">
        <v>60</v>
      </c>
      <c r="C26" s="203" t="s">
        <v>61</v>
      </c>
      <c r="D26" s="202" t="s">
        <v>21</v>
      </c>
      <c r="E26" s="204" t="s">
        <v>62</v>
      </c>
      <c r="F26" s="205">
        <v>2</v>
      </c>
      <c r="G26" s="206">
        <v>1</v>
      </c>
      <c r="H26" s="206">
        <v>1</v>
      </c>
      <c r="I26" s="207">
        <v>296</v>
      </c>
      <c r="J26" s="207">
        <v>296</v>
      </c>
    </row>
    <row r="27" ht="42.75" customHeight="1" spans="1:10">
      <c r="A27" s="201">
        <v>18</v>
      </c>
      <c r="B27" s="202" t="s">
        <v>63</v>
      </c>
      <c r="C27" s="203" t="s">
        <v>64</v>
      </c>
      <c r="D27" s="202" t="s">
        <v>65</v>
      </c>
      <c r="E27" s="204" t="s">
        <v>66</v>
      </c>
      <c r="F27" s="205">
        <v>1</v>
      </c>
      <c r="G27" s="206">
        <v>1</v>
      </c>
      <c r="H27" s="206">
        <v>1</v>
      </c>
      <c r="I27" s="207">
        <v>0</v>
      </c>
      <c r="J27" s="207">
        <v>0</v>
      </c>
    </row>
    <row r="28" ht="42.75" customHeight="1" spans="1:10">
      <c r="A28" s="201">
        <v>19</v>
      </c>
      <c r="B28" s="202" t="s">
        <v>67</v>
      </c>
      <c r="C28" s="203" t="s">
        <v>68</v>
      </c>
      <c r="D28" s="202" t="s">
        <v>65</v>
      </c>
      <c r="E28" s="204" t="s">
        <v>69</v>
      </c>
      <c r="F28" s="205">
        <v>1</v>
      </c>
      <c r="G28" s="206">
        <v>1</v>
      </c>
      <c r="H28" s="206">
        <v>1</v>
      </c>
      <c r="I28" s="207">
        <v>0</v>
      </c>
      <c r="J28" s="207">
        <v>0</v>
      </c>
    </row>
    <row r="29" ht="42.75" customHeight="1" spans="1:10">
      <c r="A29" s="201">
        <v>20</v>
      </c>
      <c r="B29" s="202" t="s">
        <v>70</v>
      </c>
      <c r="C29" s="203" t="s">
        <v>71</v>
      </c>
      <c r="D29" s="202" t="s">
        <v>65</v>
      </c>
      <c r="E29" s="204" t="s">
        <v>69</v>
      </c>
      <c r="F29" s="205">
        <v>1</v>
      </c>
      <c r="G29" s="206">
        <v>1</v>
      </c>
      <c r="H29" s="206">
        <v>1</v>
      </c>
      <c r="I29" s="207">
        <v>0</v>
      </c>
      <c r="J29" s="207">
        <v>0</v>
      </c>
    </row>
    <row r="30" ht="42.75" customHeight="1" spans="1:10">
      <c r="A30" s="201">
        <v>21</v>
      </c>
      <c r="B30" s="202" t="s">
        <v>72</v>
      </c>
      <c r="C30" s="203" t="s">
        <v>73</v>
      </c>
      <c r="D30" s="202" t="s">
        <v>74</v>
      </c>
      <c r="E30" s="204" t="s">
        <v>69</v>
      </c>
      <c r="F30" s="205">
        <v>1</v>
      </c>
      <c r="G30" s="206">
        <v>1</v>
      </c>
      <c r="H30" s="206">
        <v>1</v>
      </c>
      <c r="I30" s="207">
        <v>0</v>
      </c>
      <c r="J30" s="207">
        <v>0</v>
      </c>
    </row>
    <row r="31" ht="42.75" customHeight="1" spans="1:10">
      <c r="A31" s="201">
        <v>22</v>
      </c>
      <c r="B31" s="202" t="s">
        <v>75</v>
      </c>
      <c r="C31" s="203" t="s">
        <v>76</v>
      </c>
      <c r="D31" s="202" t="s">
        <v>65</v>
      </c>
      <c r="E31" s="204" t="s">
        <v>69</v>
      </c>
      <c r="F31" s="205">
        <v>1</v>
      </c>
      <c r="G31" s="206">
        <v>2</v>
      </c>
      <c r="H31" s="206">
        <v>2</v>
      </c>
      <c r="I31" s="207">
        <v>0</v>
      </c>
      <c r="J31" s="207">
        <v>0</v>
      </c>
    </row>
    <row r="32" ht="42.75" customHeight="1" spans="1:10">
      <c r="A32" s="201">
        <v>23</v>
      </c>
      <c r="B32" s="202" t="s">
        <v>77</v>
      </c>
      <c r="C32" s="203" t="s">
        <v>78</v>
      </c>
      <c r="D32" s="202" t="s">
        <v>79</v>
      </c>
      <c r="E32" s="204" t="s">
        <v>69</v>
      </c>
      <c r="F32" s="205">
        <v>1</v>
      </c>
      <c r="G32" s="206">
        <v>2</v>
      </c>
      <c r="H32" s="206">
        <v>2</v>
      </c>
      <c r="I32" s="207">
        <v>0</v>
      </c>
      <c r="J32" s="207">
        <v>0</v>
      </c>
    </row>
    <row r="33" ht="42.75" customHeight="1" spans="1:10">
      <c r="A33" s="201">
        <v>24</v>
      </c>
      <c r="B33" s="202" t="s">
        <v>80</v>
      </c>
      <c r="C33" s="203" t="s">
        <v>81</v>
      </c>
      <c r="D33" s="202" t="s">
        <v>65</v>
      </c>
      <c r="E33" s="204" t="s">
        <v>69</v>
      </c>
      <c r="F33" s="205">
        <v>1</v>
      </c>
      <c r="G33" s="206">
        <v>2</v>
      </c>
      <c r="H33" s="206">
        <v>2</v>
      </c>
      <c r="I33" s="207">
        <v>0</v>
      </c>
      <c r="J33" s="207">
        <v>0</v>
      </c>
    </row>
    <row r="34" ht="42.75" customHeight="1" spans="1:10">
      <c r="A34" s="201">
        <v>25</v>
      </c>
      <c r="B34" s="202" t="s">
        <v>82</v>
      </c>
      <c r="C34" s="203" t="s">
        <v>83</v>
      </c>
      <c r="D34" s="202" t="s">
        <v>84</v>
      </c>
      <c r="E34" s="204" t="s">
        <v>85</v>
      </c>
      <c r="F34" s="205">
        <v>2</v>
      </c>
      <c r="G34" s="206">
        <v>2</v>
      </c>
      <c r="H34" s="206">
        <v>2</v>
      </c>
      <c r="I34" s="207">
        <v>0</v>
      </c>
      <c r="J34" s="207">
        <v>0</v>
      </c>
    </row>
    <row r="35" ht="42.75" customHeight="1" spans="1:10">
      <c r="A35" s="201">
        <v>26</v>
      </c>
      <c r="B35" s="202" t="s">
        <v>86</v>
      </c>
      <c r="C35" s="203" t="s">
        <v>87</v>
      </c>
      <c r="D35" s="202" t="s">
        <v>88</v>
      </c>
      <c r="E35" s="204" t="s">
        <v>69</v>
      </c>
      <c r="F35" s="205">
        <v>1</v>
      </c>
      <c r="G35" s="206">
        <v>1</v>
      </c>
      <c r="H35" s="206">
        <v>1</v>
      </c>
      <c r="I35" s="207">
        <v>0</v>
      </c>
      <c r="J35" s="207">
        <v>0</v>
      </c>
    </row>
    <row r="36" ht="42.75" customHeight="1" spans="1:10">
      <c r="A36" s="201">
        <v>27</v>
      </c>
      <c r="B36" s="202" t="s">
        <v>89</v>
      </c>
      <c r="C36" s="203" t="s">
        <v>90</v>
      </c>
      <c r="D36" s="202" t="s">
        <v>91</v>
      </c>
      <c r="E36" s="204" t="s">
        <v>92</v>
      </c>
      <c r="F36" s="205">
        <v>1</v>
      </c>
      <c r="G36" s="206">
        <v>1</v>
      </c>
      <c r="H36" s="206">
        <v>1</v>
      </c>
      <c r="I36" s="207">
        <v>0</v>
      </c>
      <c r="J36" s="207">
        <v>0</v>
      </c>
    </row>
    <row r="37" ht="42.75" customHeight="1" spans="1:10">
      <c r="A37" s="201">
        <v>28</v>
      </c>
      <c r="B37" s="202" t="s">
        <v>93</v>
      </c>
      <c r="C37" s="203" t="s">
        <v>94</v>
      </c>
      <c r="D37" s="202" t="s">
        <v>95</v>
      </c>
      <c r="E37" s="204" t="s">
        <v>96</v>
      </c>
      <c r="F37" s="205">
        <v>1</v>
      </c>
      <c r="G37" s="206">
        <v>2</v>
      </c>
      <c r="H37" s="206">
        <v>2</v>
      </c>
      <c r="I37" s="207">
        <v>0</v>
      </c>
      <c r="J37" s="207">
        <v>0</v>
      </c>
    </row>
    <row r="38" ht="42.75" customHeight="1" spans="1:10">
      <c r="A38" s="201">
        <v>29</v>
      </c>
      <c r="B38" s="202" t="s">
        <v>97</v>
      </c>
      <c r="C38" s="203" t="s">
        <v>98</v>
      </c>
      <c r="D38" s="202" t="s">
        <v>99</v>
      </c>
      <c r="E38" s="204" t="s">
        <v>100</v>
      </c>
      <c r="F38" s="205">
        <v>1</v>
      </c>
      <c r="G38" s="206">
        <v>1</v>
      </c>
      <c r="H38" s="206">
        <v>1</v>
      </c>
      <c r="I38" s="207">
        <v>0</v>
      </c>
      <c r="J38" s="207">
        <v>0</v>
      </c>
    </row>
    <row r="39" ht="42.75" customHeight="1" spans="1:10">
      <c r="A39" s="201">
        <v>30</v>
      </c>
      <c r="B39" s="202" t="s">
        <v>101</v>
      </c>
      <c r="C39" s="203" t="s">
        <v>102</v>
      </c>
      <c r="D39" s="202" t="s">
        <v>103</v>
      </c>
      <c r="E39" s="204" t="s">
        <v>104</v>
      </c>
      <c r="F39" s="205">
        <v>1</v>
      </c>
      <c r="G39" s="206">
        <v>30</v>
      </c>
      <c r="H39" s="206">
        <v>30</v>
      </c>
      <c r="I39" s="207">
        <v>0</v>
      </c>
      <c r="J39" s="207">
        <v>0</v>
      </c>
    </row>
    <row r="40" ht="42.75" customHeight="1" spans="1:10">
      <c r="A40" s="201">
        <v>31</v>
      </c>
      <c r="B40" s="202" t="s">
        <v>101</v>
      </c>
      <c r="C40" s="203" t="s">
        <v>102</v>
      </c>
      <c r="D40" s="202" t="s">
        <v>103</v>
      </c>
      <c r="E40" s="204" t="s">
        <v>104</v>
      </c>
      <c r="F40" s="205">
        <v>1</v>
      </c>
      <c r="G40" s="206">
        <v>50</v>
      </c>
      <c r="H40" s="206">
        <v>50</v>
      </c>
      <c r="I40" s="207">
        <v>0</v>
      </c>
      <c r="J40" s="207">
        <v>0</v>
      </c>
    </row>
    <row r="41" ht="42.75" customHeight="1" spans="1:10">
      <c r="A41" s="201">
        <v>32</v>
      </c>
      <c r="B41" s="202" t="s">
        <v>105</v>
      </c>
      <c r="C41" s="203" t="s">
        <v>106</v>
      </c>
      <c r="D41" s="202" t="s">
        <v>107</v>
      </c>
      <c r="E41" s="204" t="s">
        <v>92</v>
      </c>
      <c r="F41" s="205">
        <v>1</v>
      </c>
      <c r="G41" s="206">
        <v>50</v>
      </c>
      <c r="H41" s="206">
        <v>50</v>
      </c>
      <c r="I41" s="207">
        <v>0</v>
      </c>
      <c r="J41" s="207">
        <v>0</v>
      </c>
    </row>
    <row r="42" ht="42.75" customHeight="1" spans="1:10">
      <c r="A42" s="201">
        <v>33</v>
      </c>
      <c r="B42" s="202" t="s">
        <v>108</v>
      </c>
      <c r="C42" s="203" t="s">
        <v>109</v>
      </c>
      <c r="D42" s="202" t="s">
        <v>110</v>
      </c>
      <c r="E42" s="204" t="s">
        <v>111</v>
      </c>
      <c r="F42" s="205">
        <v>1</v>
      </c>
      <c r="G42" s="206">
        <v>1</v>
      </c>
      <c r="H42" s="206">
        <v>1</v>
      </c>
      <c r="I42" s="207">
        <v>0</v>
      </c>
      <c r="J42" s="207">
        <v>0</v>
      </c>
    </row>
    <row r="43" ht="42.75" customHeight="1" spans="1:10">
      <c r="A43" s="201">
        <v>34</v>
      </c>
      <c r="B43" s="202" t="s">
        <v>112</v>
      </c>
      <c r="C43" s="203" t="s">
        <v>113</v>
      </c>
      <c r="D43" s="202" t="s">
        <v>65</v>
      </c>
      <c r="E43" s="204" t="s">
        <v>114</v>
      </c>
      <c r="F43" s="205">
        <v>1</v>
      </c>
      <c r="G43" s="206">
        <v>3</v>
      </c>
      <c r="H43" s="206">
        <v>3</v>
      </c>
      <c r="I43" s="207">
        <v>0</v>
      </c>
      <c r="J43" s="207">
        <v>0</v>
      </c>
    </row>
    <row r="44" ht="42.75" customHeight="1" spans="1:10">
      <c r="A44" s="201">
        <v>35</v>
      </c>
      <c r="B44" s="202" t="s">
        <v>115</v>
      </c>
      <c r="C44" s="203" t="s">
        <v>116</v>
      </c>
      <c r="D44" s="202" t="s">
        <v>110</v>
      </c>
      <c r="E44" s="204" t="s">
        <v>117</v>
      </c>
      <c r="F44" s="205">
        <v>1</v>
      </c>
      <c r="G44" s="206">
        <v>2</v>
      </c>
      <c r="H44" s="206">
        <v>2</v>
      </c>
      <c r="I44" s="207">
        <v>0</v>
      </c>
      <c r="J44" s="207">
        <v>0</v>
      </c>
    </row>
    <row r="45" ht="42.75" customHeight="1" spans="1:10">
      <c r="A45" s="201">
        <v>36</v>
      </c>
      <c r="B45" s="202" t="s">
        <v>118</v>
      </c>
      <c r="C45" s="203" t="s">
        <v>119</v>
      </c>
      <c r="D45" s="202" t="s">
        <v>88</v>
      </c>
      <c r="E45" s="204" t="s">
        <v>120</v>
      </c>
      <c r="F45" s="205">
        <v>1</v>
      </c>
      <c r="G45" s="206">
        <v>1</v>
      </c>
      <c r="H45" s="206">
        <v>1</v>
      </c>
      <c r="I45" s="207">
        <v>0</v>
      </c>
      <c r="J45" s="207">
        <v>0</v>
      </c>
    </row>
    <row r="46" ht="42.75" customHeight="1" spans="1:10">
      <c r="A46" s="201">
        <v>37</v>
      </c>
      <c r="B46" s="202" t="s">
        <v>121</v>
      </c>
      <c r="C46" s="203" t="s">
        <v>122</v>
      </c>
      <c r="D46" s="202" t="s">
        <v>123</v>
      </c>
      <c r="E46" s="204" t="s">
        <v>124</v>
      </c>
      <c r="F46" s="205">
        <v>1</v>
      </c>
      <c r="G46" s="206">
        <v>2</v>
      </c>
      <c r="H46" s="206">
        <v>2</v>
      </c>
      <c r="I46" s="207">
        <v>0</v>
      </c>
      <c r="J46" s="207">
        <v>0</v>
      </c>
    </row>
    <row r="47" ht="42.75" customHeight="1" spans="1:10">
      <c r="A47" s="201">
        <v>38</v>
      </c>
      <c r="B47" s="202" t="s">
        <v>125</v>
      </c>
      <c r="C47" s="203" t="s">
        <v>126</v>
      </c>
      <c r="D47" s="202" t="s">
        <v>127</v>
      </c>
      <c r="E47" s="204" t="s">
        <v>128</v>
      </c>
      <c r="F47" s="205">
        <v>1</v>
      </c>
      <c r="G47" s="206">
        <v>50</v>
      </c>
      <c r="H47" s="206">
        <v>50</v>
      </c>
      <c r="I47" s="207">
        <v>0</v>
      </c>
      <c r="J47" s="207">
        <v>0</v>
      </c>
    </row>
    <row r="48" ht="42.75" customHeight="1" spans="1:10">
      <c r="A48" s="201">
        <v>39</v>
      </c>
      <c r="B48" s="202" t="s">
        <v>125</v>
      </c>
      <c r="C48" s="203" t="s">
        <v>126</v>
      </c>
      <c r="D48" s="202" t="s">
        <v>127</v>
      </c>
      <c r="E48" s="204" t="s">
        <v>128</v>
      </c>
      <c r="F48" s="205">
        <v>1</v>
      </c>
      <c r="G48" s="206">
        <v>50</v>
      </c>
      <c r="H48" s="206">
        <v>50</v>
      </c>
      <c r="I48" s="207">
        <v>0</v>
      </c>
      <c r="J48" s="207">
        <v>0</v>
      </c>
    </row>
    <row r="49" ht="42.75" customHeight="1" spans="1:10">
      <c r="A49" s="201">
        <v>40</v>
      </c>
      <c r="B49" s="202" t="s">
        <v>129</v>
      </c>
      <c r="C49" s="203" t="s">
        <v>130</v>
      </c>
      <c r="D49" s="202" t="s">
        <v>65</v>
      </c>
      <c r="E49" s="204" t="s">
        <v>131</v>
      </c>
      <c r="F49" s="205">
        <v>1</v>
      </c>
      <c r="G49" s="206">
        <v>1</v>
      </c>
      <c r="H49" s="206">
        <v>1</v>
      </c>
      <c r="I49" s="207">
        <v>0</v>
      </c>
      <c r="J49" s="207">
        <v>0</v>
      </c>
    </row>
    <row r="50" ht="42.75" customHeight="1" spans="1:10">
      <c r="A50" s="201">
        <v>41</v>
      </c>
      <c r="B50" s="202" t="s">
        <v>132</v>
      </c>
      <c r="C50" s="203" t="s">
        <v>133</v>
      </c>
      <c r="D50" s="202" t="s">
        <v>134</v>
      </c>
      <c r="E50" s="204" t="s">
        <v>135</v>
      </c>
      <c r="F50" s="205">
        <v>1</v>
      </c>
      <c r="G50" s="206">
        <v>5</v>
      </c>
      <c r="H50" s="206">
        <v>5</v>
      </c>
      <c r="I50" s="207">
        <v>0</v>
      </c>
      <c r="J50" s="207">
        <v>0</v>
      </c>
    </row>
    <row r="51" ht="42.75" customHeight="1" spans="1:10">
      <c r="A51" s="201">
        <v>42</v>
      </c>
      <c r="B51" s="202" t="s">
        <v>136</v>
      </c>
      <c r="C51" s="203" t="s">
        <v>137</v>
      </c>
      <c r="D51" s="202" t="s">
        <v>138</v>
      </c>
      <c r="E51" s="204" t="s">
        <v>139</v>
      </c>
      <c r="F51" s="205">
        <v>1</v>
      </c>
      <c r="G51" s="206">
        <v>100</v>
      </c>
      <c r="H51" s="206">
        <v>100</v>
      </c>
      <c r="I51" s="207">
        <v>0.67</v>
      </c>
      <c r="J51" s="207">
        <v>67</v>
      </c>
    </row>
    <row r="52" ht="31.5" customHeight="1" spans="1:10">
      <c r="A52" s="193"/>
      <c r="B52" s="208" t="s">
        <v>140</v>
      </c>
      <c r="C52" s="209"/>
      <c r="D52" s="210"/>
      <c r="E52" s="211"/>
      <c r="F52" s="212">
        <f xml:space="preserve">SUM(F10:F51)</f>
        <v>115</v>
      </c>
      <c r="G52" s="137"/>
      <c r="H52" s="213">
        <f xml:space="preserve">SUM(H10:H51)</f>
        <v>26802</v>
      </c>
      <c r="I52" s="137"/>
      <c r="J52" s="214">
        <f xml:space="preserve">SUM(J10:J51)</f>
        <v>54755.13</v>
      </c>
    </row>
  </sheetData>
  <mergeCells count="13">
    <mergeCell ref="G3:I3"/>
    <mergeCell ref="G4:I4"/>
    <mergeCell ref="G5:I5"/>
    <mergeCell ref="B8:C8"/>
    <mergeCell ref="I8:J8"/>
    <mergeCell ref="E53:F53"/>
    <mergeCell ref="A8:A9"/>
    <mergeCell ref="D8:D9"/>
    <mergeCell ref="E8:E9"/>
    <mergeCell ref="F8:F9"/>
    <mergeCell ref="G8:G9"/>
    <mergeCell ref="H8:H9"/>
    <mergeCell ref="A1:J2"/>
  </mergeCells>
  <printOptions horizontalCentered="1"/>
  <pageMargins left="0.275590551181102" right="0.118110236220472" top="0.2" bottom="0.26" header="0.3" footer="0.19"/>
  <pageSetup paperSize="9" scale="8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46"/>
  <sheetViews>
    <sheetView zoomScale="115" zoomScaleNormal="115" workbookViewId="0">
      <selection activeCell="D16" sqref="D16"/>
    </sheetView>
  </sheetViews>
  <sheetFormatPr defaultColWidth="9" defaultRowHeight="14.25"/>
  <cols>
    <col min="1" max="1" width="8" customWidth="1"/>
    <col min="2" max="2" width="17.7083333333333" customWidth="1"/>
    <col min="3" max="5" width="14.8333333333333" customWidth="1"/>
    <col min="6" max="6" width="16" customWidth="1"/>
    <col min="7" max="7" width="16.8333333333333" customWidth="1"/>
    <col min="8" max="8" width="13.0416666666667" customWidth="1"/>
    <col min="9" max="10" width="10.3333333333333" customWidth="1"/>
  </cols>
  <sheetData>
    <row r="1" ht="20.25" customHeight="1" spans="1:12">
      <c r="A1" s="1" t="s">
        <v>154</v>
      </c>
    </row>
    <row r="2" ht="22.5" customHeight="1" spans="1:12">
      <c r="A2" s="105" t="s">
        <v>155</v>
      </c>
      <c r="B2" s="169"/>
      <c r="C2" s="170"/>
      <c r="D2" s="170"/>
      <c r="E2" s="170" t="s">
        <v>156</v>
      </c>
      <c r="F2" s="105"/>
      <c r="G2" s="171" t="s">
        <v>157</v>
      </c>
    </row>
    <row r="3" ht="18" customHeight="1" spans="1:12">
      <c r="A3" s="105" t="s">
        <v>158</v>
      </c>
      <c r="B3" s="172"/>
      <c r="C3" s="107"/>
      <c r="D3" s="107"/>
      <c r="E3" s="107"/>
      <c r="F3" s="107"/>
      <c r="G3" s="173"/>
    </row>
    <row r="4" ht="42.75" customHeight="1" spans="1:12">
      <c r="A4" s="174" t="s">
        <v>159</v>
      </c>
      <c r="B4" s="174" t="s">
        <v>160</v>
      </c>
      <c r="C4" s="174" t="s">
        <v>161</v>
      </c>
      <c r="D4" s="174" t="s">
        <v>162</v>
      </c>
      <c r="E4" s="174" t="s">
        <v>163</v>
      </c>
      <c r="F4" s="175" t="s">
        <v>164</v>
      </c>
      <c r="G4" s="174" t="s">
        <v>165</v>
      </c>
      <c r="H4" s="174" t="s">
        <v>166</v>
      </c>
      <c r="I4" s="174" t="s">
        <v>167</v>
      </c>
      <c r="J4" s="174" t="s">
        <v>168</v>
      </c>
      <c r="K4" s="174" t="s">
        <v>169</v>
      </c>
    </row>
    <row r="5" ht="57.75" customHeight="1" spans="1:12">
      <c r="A5" s="175">
        <v>1</v>
      </c>
      <c r="B5" s="176" t="s">
        <v>170</v>
      </c>
      <c r="C5" s="177" t="s">
        <v>20</v>
      </c>
      <c r="D5" s="177" t="s">
        <v>21</v>
      </c>
      <c r="E5" s="176" t="s">
        <v>171</v>
      </c>
      <c r="F5" s="176" t="s">
        <v>22</v>
      </c>
      <c r="G5" s="178" t="s">
        <v>172</v>
      </c>
      <c r="H5" s="175" t="s">
        <v>171</v>
      </c>
      <c r="I5" s="175" t="s">
        <v>171</v>
      </c>
      <c r="J5" s="175" t="s">
        <v>173</v>
      </c>
      <c r="K5" s="179"/>
      <c r="L5" s="180"/>
    </row>
    <row r="6" ht="57.75" customHeight="1" spans="1:12">
      <c r="A6" s="175">
        <v>2</v>
      </c>
      <c r="B6" s="176" t="s">
        <v>171</v>
      </c>
      <c r="C6" s="177" t="s">
        <v>25</v>
      </c>
      <c r="D6" s="177" t="s">
        <v>26</v>
      </c>
      <c r="E6" s="176" t="s">
        <v>171</v>
      </c>
      <c r="F6" s="176" t="s">
        <v>27</v>
      </c>
      <c r="G6" s="178" t="s">
        <v>174</v>
      </c>
      <c r="H6" s="175" t="s">
        <v>171</v>
      </c>
      <c r="I6" s="175" t="s">
        <v>171</v>
      </c>
      <c r="J6" s="175" t="s">
        <v>173</v>
      </c>
      <c r="K6" s="179"/>
      <c r="L6" s="180"/>
    </row>
    <row r="7" ht="57.75" customHeight="1" spans="1:12">
      <c r="A7" s="175">
        <v>3</v>
      </c>
      <c r="B7" s="176" t="s">
        <v>171</v>
      </c>
      <c r="C7" s="177" t="s">
        <v>29</v>
      </c>
      <c r="D7" s="177" t="s">
        <v>30</v>
      </c>
      <c r="E7" s="176" t="s">
        <v>171</v>
      </c>
      <c r="F7" s="176" t="s">
        <v>31</v>
      </c>
      <c r="G7" s="178" t="s">
        <v>175</v>
      </c>
      <c r="H7" s="175" t="s">
        <v>171</v>
      </c>
      <c r="I7" s="175" t="s">
        <v>171</v>
      </c>
      <c r="J7" s="175" t="s">
        <v>176</v>
      </c>
      <c r="K7" s="179"/>
      <c r="L7" s="180"/>
    </row>
    <row r="8" ht="57.75" customHeight="1" spans="1:12">
      <c r="A8" s="175">
        <v>4</v>
      </c>
      <c r="B8" s="176" t="s">
        <v>171</v>
      </c>
      <c r="C8" s="177" t="s">
        <v>33</v>
      </c>
      <c r="D8" s="177" t="s">
        <v>21</v>
      </c>
      <c r="E8" s="176" t="s">
        <v>171</v>
      </c>
      <c r="F8" s="176" t="s">
        <v>34</v>
      </c>
      <c r="G8" s="178" t="s">
        <v>177</v>
      </c>
      <c r="H8" s="175" t="s">
        <v>171</v>
      </c>
      <c r="I8" s="175" t="s">
        <v>171</v>
      </c>
      <c r="J8" s="175" t="s">
        <v>173</v>
      </c>
      <c r="K8" s="179"/>
      <c r="L8" s="180"/>
    </row>
    <row r="9" ht="57.75" customHeight="1" spans="1:12">
      <c r="A9" s="175">
        <v>5</v>
      </c>
      <c r="B9" s="176" t="s">
        <v>171</v>
      </c>
      <c r="C9" s="177" t="s">
        <v>36</v>
      </c>
      <c r="D9" s="177" t="s">
        <v>21</v>
      </c>
      <c r="E9" s="176" t="s">
        <v>171</v>
      </c>
      <c r="F9" s="176" t="s">
        <v>37</v>
      </c>
      <c r="G9" s="178" t="s">
        <v>177</v>
      </c>
      <c r="H9" s="175" t="s">
        <v>171</v>
      </c>
      <c r="I9" s="175" t="s">
        <v>171</v>
      </c>
      <c r="J9" s="175" t="s">
        <v>173</v>
      </c>
      <c r="K9" s="179"/>
      <c r="L9" s="180"/>
    </row>
    <row r="10" ht="57.75" customHeight="1" spans="1:12">
      <c r="A10" s="175">
        <v>6</v>
      </c>
      <c r="B10" s="176" t="s">
        <v>171</v>
      </c>
      <c r="C10" s="177" t="s">
        <v>39</v>
      </c>
      <c r="D10" s="177" t="s">
        <v>21</v>
      </c>
      <c r="E10" s="176" t="s">
        <v>171</v>
      </c>
      <c r="F10" s="176" t="s">
        <v>34</v>
      </c>
      <c r="G10" s="178" t="s">
        <v>177</v>
      </c>
      <c r="H10" s="175" t="s">
        <v>171</v>
      </c>
      <c r="I10" s="175" t="s">
        <v>171</v>
      </c>
      <c r="J10" s="175" t="s">
        <v>173</v>
      </c>
      <c r="K10" s="179"/>
      <c r="L10" s="180"/>
    </row>
    <row r="11" ht="57.75" customHeight="1" spans="1:12">
      <c r="A11" s="175">
        <v>7</v>
      </c>
      <c r="B11" s="176" t="s">
        <v>171</v>
      </c>
      <c r="C11" s="177" t="s">
        <v>41</v>
      </c>
      <c r="D11" s="177" t="s">
        <v>21</v>
      </c>
      <c r="E11" s="176" t="s">
        <v>171</v>
      </c>
      <c r="F11" s="176" t="s">
        <v>34</v>
      </c>
      <c r="G11" s="178" t="s">
        <v>177</v>
      </c>
      <c r="H11" s="175" t="s">
        <v>171</v>
      </c>
      <c r="I11" s="175" t="s">
        <v>171</v>
      </c>
      <c r="J11" s="175" t="s">
        <v>173</v>
      </c>
      <c r="K11" s="179"/>
      <c r="L11" s="180"/>
    </row>
    <row r="12" ht="57.75" customHeight="1" spans="1:12">
      <c r="A12" s="175">
        <v>8</v>
      </c>
      <c r="B12" s="176" t="s">
        <v>171</v>
      </c>
      <c r="C12" s="177" t="s">
        <v>42</v>
      </c>
      <c r="D12" s="177" t="s">
        <v>21</v>
      </c>
      <c r="E12" s="176" t="s">
        <v>171</v>
      </c>
      <c r="F12" s="176" t="s">
        <v>34</v>
      </c>
      <c r="G12" s="178" t="s">
        <v>177</v>
      </c>
      <c r="H12" s="175" t="s">
        <v>171</v>
      </c>
      <c r="I12" s="175" t="s">
        <v>171</v>
      </c>
      <c r="J12" s="175" t="s">
        <v>173</v>
      </c>
      <c r="K12" s="179"/>
      <c r="L12" s="180"/>
    </row>
    <row r="13" ht="57.75" customHeight="1" spans="1:12">
      <c r="A13" s="175">
        <v>9</v>
      </c>
      <c r="B13" s="176" t="s">
        <v>171</v>
      </c>
      <c r="C13" s="177" t="s">
        <v>43</v>
      </c>
      <c r="D13" s="177" t="s">
        <v>21</v>
      </c>
      <c r="E13" s="176" t="s">
        <v>171</v>
      </c>
      <c r="F13" s="176" t="s">
        <v>34</v>
      </c>
      <c r="G13" s="178" t="s">
        <v>177</v>
      </c>
      <c r="H13" s="175" t="s">
        <v>171</v>
      </c>
      <c r="I13" s="175" t="s">
        <v>171</v>
      </c>
      <c r="J13" s="175" t="s">
        <v>173</v>
      </c>
      <c r="K13" s="179"/>
      <c r="L13" s="180"/>
    </row>
    <row r="14" ht="57.75" customHeight="1" spans="1:12">
      <c r="A14" s="175">
        <v>10</v>
      </c>
      <c r="B14" s="176" t="s">
        <v>171</v>
      </c>
      <c r="C14" s="177" t="s">
        <v>44</v>
      </c>
      <c r="D14" s="177" t="s">
        <v>21</v>
      </c>
      <c r="E14" s="176" t="s">
        <v>171</v>
      </c>
      <c r="F14" s="176" t="s">
        <v>34</v>
      </c>
      <c r="G14" s="178" t="s">
        <v>177</v>
      </c>
      <c r="H14" s="175" t="s">
        <v>171</v>
      </c>
      <c r="I14" s="175" t="s">
        <v>171</v>
      </c>
      <c r="J14" s="175" t="s">
        <v>173</v>
      </c>
      <c r="K14" s="179"/>
      <c r="L14" s="180"/>
    </row>
    <row r="15" ht="57.75" customHeight="1" spans="1:12">
      <c r="A15" s="175">
        <v>11</v>
      </c>
      <c r="B15" s="176" t="s">
        <v>171</v>
      </c>
      <c r="C15" s="177" t="s">
        <v>45</v>
      </c>
      <c r="D15" s="177" t="s">
        <v>21</v>
      </c>
      <c r="E15" s="176" t="s">
        <v>171</v>
      </c>
      <c r="F15" s="176" t="s">
        <v>34</v>
      </c>
      <c r="G15" s="178" t="s">
        <v>177</v>
      </c>
      <c r="H15" s="175" t="s">
        <v>171</v>
      </c>
      <c r="I15" s="175" t="s">
        <v>171</v>
      </c>
      <c r="J15" s="175" t="s">
        <v>173</v>
      </c>
      <c r="K15" s="179"/>
      <c r="L15" s="180"/>
    </row>
    <row r="16" ht="57.75" customHeight="1" spans="1:12">
      <c r="A16" s="175">
        <v>12</v>
      </c>
      <c r="B16" s="176" t="s">
        <v>171</v>
      </c>
      <c r="C16" s="177" t="s">
        <v>46</v>
      </c>
      <c r="D16" s="177" t="s">
        <v>21</v>
      </c>
      <c r="E16" s="176" t="s">
        <v>171</v>
      </c>
      <c r="F16" s="176" t="s">
        <v>34</v>
      </c>
      <c r="G16" s="178" t="s">
        <v>177</v>
      </c>
      <c r="H16" s="175" t="s">
        <v>171</v>
      </c>
      <c r="I16" s="175" t="s">
        <v>171</v>
      </c>
      <c r="J16" s="175" t="s">
        <v>173</v>
      </c>
      <c r="K16" s="179"/>
      <c r="L16" s="180"/>
    </row>
    <row r="17" ht="57.75" customHeight="1" spans="1:12">
      <c r="A17" s="175">
        <v>13</v>
      </c>
      <c r="B17" s="176" t="s">
        <v>171</v>
      </c>
      <c r="C17" s="177" t="s">
        <v>48</v>
      </c>
      <c r="D17" s="177" t="s">
        <v>21</v>
      </c>
      <c r="E17" s="176" t="s">
        <v>171</v>
      </c>
      <c r="F17" s="176" t="s">
        <v>49</v>
      </c>
      <c r="G17" s="178" t="s">
        <v>177</v>
      </c>
      <c r="H17" s="175" t="s">
        <v>171</v>
      </c>
      <c r="I17" s="175" t="s">
        <v>171</v>
      </c>
      <c r="J17" s="175" t="s">
        <v>173</v>
      </c>
      <c r="K17" s="179"/>
      <c r="L17" s="180"/>
    </row>
    <row r="18" ht="57.75" customHeight="1" spans="1:12">
      <c r="A18" s="175">
        <v>14</v>
      </c>
      <c r="B18" s="176" t="s">
        <v>171</v>
      </c>
      <c r="C18" s="177" t="s">
        <v>51</v>
      </c>
      <c r="D18" s="177" t="s">
        <v>21</v>
      </c>
      <c r="E18" s="176" t="s">
        <v>171</v>
      </c>
      <c r="F18" s="176" t="s">
        <v>34</v>
      </c>
      <c r="G18" s="178" t="s">
        <v>177</v>
      </c>
      <c r="H18" s="175" t="s">
        <v>171</v>
      </c>
      <c r="I18" s="175" t="s">
        <v>171</v>
      </c>
      <c r="J18" s="175" t="s">
        <v>173</v>
      </c>
      <c r="K18" s="179"/>
      <c r="L18" s="180"/>
    </row>
    <row r="19" ht="57.75" customHeight="1" spans="1:12">
      <c r="A19" s="175">
        <v>15</v>
      </c>
      <c r="B19" s="176" t="s">
        <v>171</v>
      </c>
      <c r="C19" s="177" t="s">
        <v>53</v>
      </c>
      <c r="D19" s="177" t="s">
        <v>54</v>
      </c>
      <c r="E19" s="176" t="s">
        <v>171</v>
      </c>
      <c r="F19" s="176" t="s">
        <v>55</v>
      </c>
      <c r="G19" s="178" t="s">
        <v>177</v>
      </c>
      <c r="H19" s="175" t="s">
        <v>171</v>
      </c>
      <c r="I19" s="175" t="s">
        <v>171</v>
      </c>
      <c r="J19" s="175" t="s">
        <v>173</v>
      </c>
      <c r="K19" s="179"/>
      <c r="L19" s="180"/>
    </row>
    <row r="20" ht="57.75" customHeight="1" spans="1:12">
      <c r="A20" s="175">
        <v>16</v>
      </c>
      <c r="B20" s="176" t="s">
        <v>171</v>
      </c>
      <c r="C20" s="177" t="s">
        <v>57</v>
      </c>
      <c r="D20" s="177" t="s">
        <v>58</v>
      </c>
      <c r="E20" s="176" t="s">
        <v>171</v>
      </c>
      <c r="F20" s="176" t="s">
        <v>59</v>
      </c>
      <c r="G20" s="178" t="s">
        <v>177</v>
      </c>
      <c r="H20" s="175" t="s">
        <v>171</v>
      </c>
      <c r="I20" s="175" t="s">
        <v>171</v>
      </c>
      <c r="J20" s="175" t="s">
        <v>178</v>
      </c>
      <c r="K20" s="179"/>
      <c r="L20" s="180"/>
    </row>
    <row r="21" ht="57.75" customHeight="1" spans="1:12">
      <c r="A21" s="175">
        <v>17</v>
      </c>
      <c r="B21" s="176" t="s">
        <v>171</v>
      </c>
      <c r="C21" s="177" t="s">
        <v>61</v>
      </c>
      <c r="D21" s="177" t="s">
        <v>21</v>
      </c>
      <c r="E21" s="176" t="s">
        <v>171</v>
      </c>
      <c r="F21" s="176" t="s">
        <v>62</v>
      </c>
      <c r="G21" s="178" t="s">
        <v>177</v>
      </c>
      <c r="H21" s="175" t="s">
        <v>171</v>
      </c>
      <c r="I21" s="175" t="s">
        <v>171</v>
      </c>
      <c r="J21" s="175" t="s">
        <v>173</v>
      </c>
      <c r="K21" s="179"/>
      <c r="L21" s="180"/>
    </row>
    <row r="22" ht="57.75" customHeight="1" spans="1:12">
      <c r="A22" s="175">
        <v>18</v>
      </c>
      <c r="B22" s="176" t="s">
        <v>171</v>
      </c>
      <c r="C22" s="177" t="s">
        <v>64</v>
      </c>
      <c r="D22" s="177" t="s">
        <v>65</v>
      </c>
      <c r="E22" s="176" t="s">
        <v>171</v>
      </c>
      <c r="F22" s="176" t="s">
        <v>66</v>
      </c>
      <c r="G22" s="178" t="s">
        <v>171</v>
      </c>
      <c r="H22" s="175" t="s">
        <v>171</v>
      </c>
      <c r="I22" s="175" t="s">
        <v>171</v>
      </c>
      <c r="J22" s="175" t="s">
        <v>176</v>
      </c>
      <c r="K22" s="179"/>
      <c r="L22" s="180"/>
    </row>
    <row r="23" ht="57.75" customHeight="1" spans="1:12">
      <c r="A23" s="175">
        <v>19</v>
      </c>
      <c r="B23" s="176" t="s">
        <v>171</v>
      </c>
      <c r="C23" s="177" t="s">
        <v>68</v>
      </c>
      <c r="D23" s="177" t="s">
        <v>65</v>
      </c>
      <c r="E23" s="176" t="s">
        <v>171</v>
      </c>
      <c r="F23" s="176" t="s">
        <v>69</v>
      </c>
      <c r="G23" s="178" t="s">
        <v>171</v>
      </c>
      <c r="H23" s="175" t="s">
        <v>171</v>
      </c>
      <c r="I23" s="175" t="s">
        <v>171</v>
      </c>
      <c r="J23" s="175" t="s">
        <v>176</v>
      </c>
      <c r="K23" s="179"/>
      <c r="L23" s="180"/>
    </row>
    <row r="24" ht="57.75" customHeight="1" spans="1:12">
      <c r="A24" s="175">
        <v>20</v>
      </c>
      <c r="B24" s="176" t="s">
        <v>171</v>
      </c>
      <c r="C24" s="177" t="s">
        <v>71</v>
      </c>
      <c r="D24" s="177" t="s">
        <v>65</v>
      </c>
      <c r="E24" s="176" t="s">
        <v>171</v>
      </c>
      <c r="F24" s="176" t="s">
        <v>69</v>
      </c>
      <c r="G24" s="178" t="s">
        <v>171</v>
      </c>
      <c r="H24" s="175" t="s">
        <v>171</v>
      </c>
      <c r="I24" s="175" t="s">
        <v>171</v>
      </c>
      <c r="J24" s="175" t="s">
        <v>176</v>
      </c>
      <c r="K24" s="179"/>
      <c r="L24" s="180"/>
    </row>
    <row r="25" ht="57.75" customHeight="1" spans="1:12">
      <c r="A25" s="175">
        <v>21</v>
      </c>
      <c r="B25" s="176" t="s">
        <v>171</v>
      </c>
      <c r="C25" s="177" t="s">
        <v>73</v>
      </c>
      <c r="D25" s="177" t="s">
        <v>74</v>
      </c>
      <c r="E25" s="176" t="s">
        <v>171</v>
      </c>
      <c r="F25" s="176" t="s">
        <v>69</v>
      </c>
      <c r="G25" s="178" t="s">
        <v>171</v>
      </c>
      <c r="H25" s="175" t="s">
        <v>171</v>
      </c>
      <c r="I25" s="175" t="s">
        <v>171</v>
      </c>
      <c r="J25" s="175" t="s">
        <v>176</v>
      </c>
      <c r="K25" s="179"/>
      <c r="L25" s="180"/>
    </row>
    <row r="26" ht="57.75" customHeight="1" spans="1:12">
      <c r="A26" s="175">
        <v>22</v>
      </c>
      <c r="B26" s="176" t="s">
        <v>171</v>
      </c>
      <c r="C26" s="177" t="s">
        <v>76</v>
      </c>
      <c r="D26" s="177" t="s">
        <v>65</v>
      </c>
      <c r="E26" s="176" t="s">
        <v>171</v>
      </c>
      <c r="F26" s="176" t="s">
        <v>69</v>
      </c>
      <c r="G26" s="178" t="s">
        <v>171</v>
      </c>
      <c r="H26" s="175" t="s">
        <v>171</v>
      </c>
      <c r="I26" s="175" t="s">
        <v>171</v>
      </c>
      <c r="J26" s="175" t="s">
        <v>176</v>
      </c>
      <c r="K26" s="179"/>
      <c r="L26" s="180"/>
    </row>
    <row r="27" ht="57.75" customHeight="1" spans="1:12">
      <c r="A27" s="175">
        <v>23</v>
      </c>
      <c r="B27" s="176" t="s">
        <v>171</v>
      </c>
      <c r="C27" s="177" t="s">
        <v>78</v>
      </c>
      <c r="D27" s="177" t="s">
        <v>79</v>
      </c>
      <c r="E27" s="176" t="s">
        <v>171</v>
      </c>
      <c r="F27" s="176" t="s">
        <v>69</v>
      </c>
      <c r="G27" s="178" t="s">
        <v>171</v>
      </c>
      <c r="H27" s="175" t="s">
        <v>171</v>
      </c>
      <c r="I27" s="175" t="s">
        <v>171</v>
      </c>
      <c r="J27" s="175" t="s">
        <v>176</v>
      </c>
      <c r="K27" s="179"/>
      <c r="L27" s="180"/>
    </row>
    <row r="28" ht="57.75" customHeight="1" spans="1:12">
      <c r="A28" s="175">
        <v>24</v>
      </c>
      <c r="B28" s="176" t="s">
        <v>171</v>
      </c>
      <c r="C28" s="177" t="s">
        <v>81</v>
      </c>
      <c r="D28" s="177" t="s">
        <v>65</v>
      </c>
      <c r="E28" s="176" t="s">
        <v>171</v>
      </c>
      <c r="F28" s="176" t="s">
        <v>69</v>
      </c>
      <c r="G28" s="178" t="s">
        <v>171</v>
      </c>
      <c r="H28" s="175" t="s">
        <v>171</v>
      </c>
      <c r="I28" s="175" t="s">
        <v>171</v>
      </c>
      <c r="J28" s="175" t="s">
        <v>176</v>
      </c>
      <c r="K28" s="179"/>
      <c r="L28" s="180"/>
    </row>
    <row r="29" ht="57.75" customHeight="1" spans="1:12">
      <c r="A29" s="175">
        <v>25</v>
      </c>
      <c r="B29" s="176" t="s">
        <v>171</v>
      </c>
      <c r="C29" s="177" t="s">
        <v>83</v>
      </c>
      <c r="D29" s="177" t="s">
        <v>84</v>
      </c>
      <c r="E29" s="176" t="s">
        <v>171</v>
      </c>
      <c r="F29" s="176" t="s">
        <v>85</v>
      </c>
      <c r="G29" s="178" t="s">
        <v>171</v>
      </c>
      <c r="H29" s="175" t="s">
        <v>171</v>
      </c>
      <c r="I29" s="175" t="s">
        <v>171</v>
      </c>
      <c r="J29" s="175" t="s">
        <v>178</v>
      </c>
      <c r="K29" s="179"/>
      <c r="L29" s="180"/>
    </row>
    <row r="30" ht="57.75" customHeight="1" spans="1:12">
      <c r="A30" s="175">
        <v>26</v>
      </c>
      <c r="B30" s="176" t="s">
        <v>171</v>
      </c>
      <c r="C30" s="177" t="s">
        <v>87</v>
      </c>
      <c r="D30" s="177" t="s">
        <v>88</v>
      </c>
      <c r="E30" s="176" t="s">
        <v>171</v>
      </c>
      <c r="F30" s="176" t="s">
        <v>69</v>
      </c>
      <c r="G30" s="178" t="s">
        <v>171</v>
      </c>
      <c r="H30" s="175" t="s">
        <v>171</v>
      </c>
      <c r="I30" s="175" t="s">
        <v>171</v>
      </c>
      <c r="J30" s="175" t="s">
        <v>176</v>
      </c>
      <c r="K30" s="179"/>
      <c r="L30" s="180"/>
    </row>
    <row r="31" ht="57.75" customHeight="1" spans="1:12">
      <c r="A31" s="175">
        <v>27</v>
      </c>
      <c r="B31" s="176" t="s">
        <v>171</v>
      </c>
      <c r="C31" s="177" t="s">
        <v>90</v>
      </c>
      <c r="D31" s="177" t="s">
        <v>91</v>
      </c>
      <c r="E31" s="176" t="s">
        <v>171</v>
      </c>
      <c r="F31" s="176" t="s">
        <v>92</v>
      </c>
      <c r="G31" s="178" t="s">
        <v>171</v>
      </c>
      <c r="H31" s="175" t="s">
        <v>171</v>
      </c>
      <c r="I31" s="175" t="s">
        <v>171</v>
      </c>
      <c r="J31" s="175" t="s">
        <v>176</v>
      </c>
      <c r="K31" s="179"/>
      <c r="L31" s="180"/>
    </row>
    <row r="32" ht="57.75" customHeight="1" spans="1:12">
      <c r="A32" s="175">
        <v>28</v>
      </c>
      <c r="B32" s="176" t="s">
        <v>171</v>
      </c>
      <c r="C32" s="177" t="s">
        <v>94</v>
      </c>
      <c r="D32" s="177" t="s">
        <v>95</v>
      </c>
      <c r="E32" s="176" t="s">
        <v>171</v>
      </c>
      <c r="F32" s="176" t="s">
        <v>96</v>
      </c>
      <c r="G32" s="178" t="s">
        <v>171</v>
      </c>
      <c r="H32" s="175" t="s">
        <v>171</v>
      </c>
      <c r="I32" s="175" t="s">
        <v>171</v>
      </c>
      <c r="J32" s="175" t="s">
        <v>176</v>
      </c>
      <c r="K32" s="179"/>
      <c r="L32" s="180"/>
    </row>
    <row r="33" ht="57.75" customHeight="1" spans="1:12">
      <c r="A33" s="175">
        <v>29</v>
      </c>
      <c r="B33" s="176" t="s">
        <v>171</v>
      </c>
      <c r="C33" s="177" t="s">
        <v>98</v>
      </c>
      <c r="D33" s="177" t="s">
        <v>99</v>
      </c>
      <c r="E33" s="176" t="s">
        <v>171</v>
      </c>
      <c r="F33" s="176" t="s">
        <v>100</v>
      </c>
      <c r="G33" s="178" t="s">
        <v>171</v>
      </c>
      <c r="H33" s="175" t="s">
        <v>171</v>
      </c>
      <c r="I33" s="175" t="s">
        <v>171</v>
      </c>
      <c r="J33" s="175" t="s">
        <v>173</v>
      </c>
      <c r="K33" s="179"/>
      <c r="L33" s="180"/>
    </row>
    <row r="34" ht="57.75" customHeight="1" spans="1:12">
      <c r="A34" s="175">
        <v>30</v>
      </c>
      <c r="B34" s="176" t="s">
        <v>171</v>
      </c>
      <c r="C34" s="177" t="s">
        <v>102</v>
      </c>
      <c r="D34" s="177" t="s">
        <v>103</v>
      </c>
      <c r="E34" s="176" t="s">
        <v>171</v>
      </c>
      <c r="F34" s="176" t="s">
        <v>104</v>
      </c>
      <c r="G34" s="178" t="s">
        <v>171</v>
      </c>
      <c r="H34" s="175" t="s">
        <v>171</v>
      </c>
      <c r="I34" s="175" t="s">
        <v>171</v>
      </c>
      <c r="J34" s="175" t="s">
        <v>176</v>
      </c>
      <c r="K34" s="179"/>
      <c r="L34" s="180"/>
    </row>
    <row r="35" ht="57.75" customHeight="1" spans="1:12">
      <c r="A35" s="175">
        <v>31</v>
      </c>
      <c r="B35" s="176" t="s">
        <v>171</v>
      </c>
      <c r="C35" s="177" t="s">
        <v>102</v>
      </c>
      <c r="D35" s="177" t="s">
        <v>103</v>
      </c>
      <c r="E35" s="176" t="s">
        <v>171</v>
      </c>
      <c r="F35" s="176" t="s">
        <v>104</v>
      </c>
      <c r="G35" s="178" t="s">
        <v>171</v>
      </c>
      <c r="H35" s="175" t="s">
        <v>171</v>
      </c>
      <c r="I35" s="175" t="s">
        <v>171</v>
      </c>
      <c r="J35" s="175" t="s">
        <v>176</v>
      </c>
      <c r="K35" s="179"/>
      <c r="L35" s="180"/>
    </row>
    <row r="36" ht="57.75" customHeight="1" spans="1:12">
      <c r="A36" s="175">
        <v>32</v>
      </c>
      <c r="B36" s="176" t="s">
        <v>179</v>
      </c>
      <c r="C36" s="177" t="s">
        <v>106</v>
      </c>
      <c r="D36" s="177" t="s">
        <v>107</v>
      </c>
      <c r="E36" s="176" t="s">
        <v>171</v>
      </c>
      <c r="F36" s="176" t="s">
        <v>92</v>
      </c>
      <c r="G36" s="178" t="s">
        <v>171</v>
      </c>
      <c r="H36" s="175" t="s">
        <v>171</v>
      </c>
      <c r="I36" s="175" t="s">
        <v>171</v>
      </c>
      <c r="J36" s="175" t="s">
        <v>176</v>
      </c>
      <c r="K36" s="179"/>
      <c r="L36" s="180"/>
    </row>
    <row r="37" ht="57.75" customHeight="1" spans="1:12">
      <c r="A37" s="175">
        <v>33</v>
      </c>
      <c r="B37" s="176" t="s">
        <v>171</v>
      </c>
      <c r="C37" s="177" t="s">
        <v>109</v>
      </c>
      <c r="D37" s="177" t="s">
        <v>110</v>
      </c>
      <c r="E37" s="176" t="s">
        <v>171</v>
      </c>
      <c r="F37" s="176" t="s">
        <v>111</v>
      </c>
      <c r="G37" s="178" t="s">
        <v>171</v>
      </c>
      <c r="H37" s="175" t="s">
        <v>171</v>
      </c>
      <c r="I37" s="175" t="s">
        <v>171</v>
      </c>
      <c r="J37" s="175" t="s">
        <v>176</v>
      </c>
      <c r="K37" s="179"/>
      <c r="L37" s="180"/>
    </row>
    <row r="38" ht="57.75" customHeight="1" spans="1:12">
      <c r="A38" s="175">
        <v>34</v>
      </c>
      <c r="B38" s="176" t="s">
        <v>171</v>
      </c>
      <c r="C38" s="177" t="s">
        <v>113</v>
      </c>
      <c r="D38" s="177" t="s">
        <v>65</v>
      </c>
      <c r="E38" s="176" t="s">
        <v>171</v>
      </c>
      <c r="F38" s="176" t="s">
        <v>114</v>
      </c>
      <c r="G38" s="178" t="s">
        <v>171</v>
      </c>
      <c r="H38" s="175" t="s">
        <v>171</v>
      </c>
      <c r="I38" s="175" t="s">
        <v>171</v>
      </c>
      <c r="J38" s="175" t="s">
        <v>176</v>
      </c>
      <c r="K38" s="179"/>
      <c r="L38" s="180"/>
    </row>
    <row r="39" ht="57.75" customHeight="1" spans="1:12">
      <c r="A39" s="175">
        <v>35</v>
      </c>
      <c r="B39" s="176" t="s">
        <v>171</v>
      </c>
      <c r="C39" s="177" t="s">
        <v>116</v>
      </c>
      <c r="D39" s="177" t="s">
        <v>110</v>
      </c>
      <c r="E39" s="176" t="s">
        <v>171</v>
      </c>
      <c r="F39" s="176" t="s">
        <v>117</v>
      </c>
      <c r="G39" s="178" t="s">
        <v>171</v>
      </c>
      <c r="H39" s="175" t="s">
        <v>171</v>
      </c>
      <c r="I39" s="175" t="s">
        <v>171</v>
      </c>
      <c r="J39" s="175" t="s">
        <v>176</v>
      </c>
      <c r="K39" s="179"/>
      <c r="L39" s="180"/>
    </row>
    <row r="40" ht="57.75" customHeight="1" spans="1:12">
      <c r="A40" s="175">
        <v>36</v>
      </c>
      <c r="B40" s="176" t="s">
        <v>171</v>
      </c>
      <c r="C40" s="177" t="s">
        <v>119</v>
      </c>
      <c r="D40" s="177" t="s">
        <v>88</v>
      </c>
      <c r="E40" s="176" t="s">
        <v>171</v>
      </c>
      <c r="F40" s="176" t="s">
        <v>120</v>
      </c>
      <c r="G40" s="178" t="s">
        <v>171</v>
      </c>
      <c r="H40" s="175" t="s">
        <v>171</v>
      </c>
      <c r="I40" s="175" t="s">
        <v>171</v>
      </c>
      <c r="J40" s="175" t="s">
        <v>176</v>
      </c>
      <c r="K40" s="179"/>
      <c r="L40" s="180"/>
    </row>
    <row r="41" ht="57.75" customHeight="1" spans="1:12">
      <c r="A41" s="175">
        <v>37</v>
      </c>
      <c r="B41" s="176" t="s">
        <v>171</v>
      </c>
      <c r="C41" s="177" t="s">
        <v>122</v>
      </c>
      <c r="D41" s="177" t="s">
        <v>123</v>
      </c>
      <c r="E41" s="176" t="s">
        <v>171</v>
      </c>
      <c r="F41" s="176" t="s">
        <v>124</v>
      </c>
      <c r="G41" s="178" t="s">
        <v>171</v>
      </c>
      <c r="H41" s="175" t="s">
        <v>171</v>
      </c>
      <c r="I41" s="175" t="s">
        <v>171</v>
      </c>
      <c r="J41" s="175" t="s">
        <v>176</v>
      </c>
      <c r="K41" s="179"/>
      <c r="L41" s="180"/>
    </row>
    <row r="42" ht="57.75" customHeight="1" spans="1:12">
      <c r="A42" s="175">
        <v>38</v>
      </c>
      <c r="B42" s="176" t="s">
        <v>171</v>
      </c>
      <c r="C42" s="177" t="s">
        <v>126</v>
      </c>
      <c r="D42" s="177" t="s">
        <v>127</v>
      </c>
      <c r="E42" s="176" t="s">
        <v>171</v>
      </c>
      <c r="F42" s="176" t="s">
        <v>128</v>
      </c>
      <c r="G42" s="178" t="s">
        <v>171</v>
      </c>
      <c r="H42" s="175" t="s">
        <v>171</v>
      </c>
      <c r="I42" s="175" t="s">
        <v>171</v>
      </c>
      <c r="J42" s="175" t="s">
        <v>176</v>
      </c>
      <c r="K42" s="179"/>
      <c r="L42" s="180"/>
    </row>
    <row r="43" ht="57.75" customHeight="1" spans="1:12">
      <c r="A43" s="175">
        <v>39</v>
      </c>
      <c r="B43" s="176" t="s">
        <v>171</v>
      </c>
      <c r="C43" s="177" t="s">
        <v>126</v>
      </c>
      <c r="D43" s="177" t="s">
        <v>127</v>
      </c>
      <c r="E43" s="176" t="s">
        <v>171</v>
      </c>
      <c r="F43" s="176" t="s">
        <v>128</v>
      </c>
      <c r="G43" s="178" t="s">
        <v>171</v>
      </c>
      <c r="H43" s="175" t="s">
        <v>171</v>
      </c>
      <c r="I43" s="175" t="s">
        <v>171</v>
      </c>
      <c r="J43" s="175" t="s">
        <v>176</v>
      </c>
      <c r="K43" s="179"/>
      <c r="L43" s="180"/>
    </row>
    <row r="44" ht="57.75" customHeight="1" spans="1:12">
      <c r="A44" s="175">
        <v>40</v>
      </c>
      <c r="B44" s="176" t="s">
        <v>171</v>
      </c>
      <c r="C44" s="177" t="s">
        <v>130</v>
      </c>
      <c r="D44" s="177" t="s">
        <v>65</v>
      </c>
      <c r="E44" s="176" t="s">
        <v>171</v>
      </c>
      <c r="F44" s="176" t="s">
        <v>131</v>
      </c>
      <c r="G44" s="178" t="s">
        <v>171</v>
      </c>
      <c r="H44" s="175" t="s">
        <v>171</v>
      </c>
      <c r="I44" s="175" t="s">
        <v>171</v>
      </c>
      <c r="J44" s="175" t="s">
        <v>176</v>
      </c>
      <c r="K44" s="179"/>
      <c r="L44" s="180"/>
    </row>
    <row r="45" ht="57.75" customHeight="1" spans="1:12">
      <c r="A45" s="175">
        <v>41</v>
      </c>
      <c r="B45" s="176" t="s">
        <v>171</v>
      </c>
      <c r="C45" s="177" t="s">
        <v>133</v>
      </c>
      <c r="D45" s="177" t="s">
        <v>134</v>
      </c>
      <c r="E45" s="176" t="s">
        <v>171</v>
      </c>
      <c r="F45" s="176" t="s">
        <v>135</v>
      </c>
      <c r="G45" s="178" t="s">
        <v>171</v>
      </c>
      <c r="H45" s="175" t="s">
        <v>171</v>
      </c>
      <c r="I45" s="175" t="s">
        <v>171</v>
      </c>
      <c r="J45" s="175" t="s">
        <v>178</v>
      </c>
      <c r="K45" s="179"/>
      <c r="L45" s="180"/>
    </row>
    <row r="46" ht="57.75" customHeight="1" spans="1:12">
      <c r="A46" s="175">
        <v>42</v>
      </c>
      <c r="B46" s="176" t="s">
        <v>171</v>
      </c>
      <c r="C46" s="177" t="s">
        <v>137</v>
      </c>
      <c r="D46" s="177" t="s">
        <v>138</v>
      </c>
      <c r="E46" s="176" t="s">
        <v>171</v>
      </c>
      <c r="F46" s="176" t="s">
        <v>139</v>
      </c>
      <c r="G46" s="178" t="s">
        <v>180</v>
      </c>
      <c r="H46" s="175" t="s">
        <v>171</v>
      </c>
      <c r="I46" s="175" t="s">
        <v>171</v>
      </c>
      <c r="J46" s="175" t="s">
        <v>181</v>
      </c>
      <c r="K46" s="179"/>
      <c r="L46" s="180"/>
    </row>
  </sheetData>
  <mergeCells count="1">
    <mergeCell ref="A1:K1"/>
  </mergeCells>
  <printOptions horizontalCentered="1"/>
  <pageMargins left="0.196850393700787" right="0.196850393700787" top="0.196850393700787" bottom="0.196850393700787" header="0.236220472440945" footer="0.511811023622047"/>
  <pageSetup paperSize="9" scale="9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M82"/>
  <sheetViews>
    <sheetView zoomScale="145" zoomScaleNormal="145" zoomScaleSheetLayoutView="85" workbookViewId="0">
      <selection activeCell="F31" sqref="F31"/>
    </sheetView>
  </sheetViews>
  <sheetFormatPr defaultColWidth="9" defaultRowHeight="13.5"/>
  <cols>
    <col min="1" max="1" width="10.0833333333333" style="80" customWidth="1"/>
    <col min="2" max="2" width="7.325" style="80" customWidth="1"/>
    <col min="3" max="3" width="16.1166666666667" style="80" customWidth="1"/>
    <col min="4" max="4" width="12.5833333333333" style="80" customWidth="1"/>
    <col min="5" max="5" width="9.56666666666667" style="81" customWidth="1"/>
    <col min="6" max="6" width="7.33333333333333" style="80" customWidth="1"/>
    <col min="7" max="7" width="14.3083333333333" style="80" customWidth="1"/>
    <col min="8" max="8" width="18.7833333333333" style="82" customWidth="1"/>
    <col min="9" max="9" width="12.75" style="80" customWidth="1"/>
    <col min="10" max="10" width="14.8333333333333" style="80" customWidth="1"/>
    <col min="11" max="11" width="10.5" style="80" customWidth="1"/>
    <col min="12" max="12" width="11.5833333333333" style="80" customWidth="1"/>
    <col min="13" max="16384" width="9" style="80" customWidth="1"/>
  </cols>
  <sheetData>
    <row r="1" ht="24" customHeight="1" spans="1:12">
      <c r="A1" s="83" t="s">
        <v>182</v>
      </c>
    </row>
    <row r="2" ht="14.25" customHeight="1" spans="1:12">
      <c r="A2" s="84" t="s">
        <v>183</v>
      </c>
    </row>
    <row r="3" ht="32" customHeight="1" spans="1:12">
      <c r="A3" s="85" t="s">
        <v>184</v>
      </c>
      <c r="B3" s="86"/>
      <c r="C3" s="87" t="s">
        <v>185</v>
      </c>
      <c r="G3" s="88" t="s">
        <v>186</v>
      </c>
      <c r="H3" s="89"/>
    </row>
    <row r="4" ht="22" customHeight="1" spans="1:12">
      <c r="A4" s="90" t="s">
        <v>187</v>
      </c>
      <c r="B4" s="86"/>
      <c r="C4" s="86"/>
      <c r="G4" s="88" t="s">
        <v>188</v>
      </c>
      <c r="H4" s="91"/>
    </row>
    <row r="5" ht="34" customHeight="1" spans="1:12">
      <c r="A5" s="85" t="s">
        <v>189</v>
      </c>
      <c r="B5" s="86"/>
      <c r="C5" s="86"/>
      <c r="G5" s="88" t="s">
        <v>190</v>
      </c>
      <c r="H5" s="92" t="s">
        <v>191</v>
      </c>
    </row>
    <row r="6" spans="1:12">
      <c r="A6" s="93"/>
      <c r="B6" s="86"/>
      <c r="C6" s="86"/>
      <c r="D6" s="94"/>
      <c r="E6" s="95"/>
      <c r="F6" s="86"/>
      <c r="G6" s="86"/>
      <c r="H6" s="96"/>
    </row>
    <row r="7" ht="12.75" customHeight="1" spans="1:12">
      <c r="A7" s="97"/>
      <c r="B7" s="98"/>
      <c r="C7" s="98"/>
      <c r="D7" s="98"/>
      <c r="E7" s="99"/>
      <c r="F7" s="98"/>
      <c r="G7" s="98"/>
      <c r="H7" s="100"/>
    </row>
    <row r="8" spans="1:12">
      <c r="A8" s="93"/>
      <c r="B8" s="86"/>
      <c r="C8" s="101"/>
      <c r="G8" s="88" t="s">
        <v>192</v>
      </c>
      <c r="H8" s="96"/>
    </row>
    <row r="9" ht="15.75" customHeight="1" spans="1:12">
      <c r="A9" s="93"/>
      <c r="B9" s="86"/>
      <c r="G9" s="88" t="s">
        <v>193</v>
      </c>
      <c r="H9" s="102"/>
    </row>
    <row r="10" spans="1:12">
      <c r="A10" s="93"/>
      <c r="B10" s="86"/>
      <c r="C10" s="86"/>
      <c r="D10" s="86"/>
      <c r="E10" s="95"/>
      <c r="F10" s="86"/>
      <c r="G10" s="103"/>
    </row>
    <row r="11" ht="19.5" customHeight="1" spans="1:12">
      <c r="A11" s="104" t="s">
        <v>194</v>
      </c>
      <c r="B11" s="85" t="s">
        <v>195</v>
      </c>
      <c r="C11" s="105"/>
      <c r="G11" s="106"/>
      <c r="H11" s="107"/>
      <c r="J11" s="108"/>
      <c r="K11" s="108"/>
      <c r="L11" s="108"/>
    </row>
    <row r="12" ht="19.5" customHeight="1" spans="1:12">
      <c r="A12" s="104" t="s">
        <v>196</v>
      </c>
      <c r="B12" s="104" t="s">
        <v>197</v>
      </c>
      <c r="C12" s="109"/>
      <c r="G12" s="106"/>
      <c r="H12" s="110"/>
      <c r="J12" s="108"/>
      <c r="K12" s="108"/>
      <c r="L12" s="108"/>
    </row>
    <row r="13" ht="27" customHeight="1" spans="1:12">
      <c r="A13" s="93"/>
    </row>
    <row r="14" spans="1:12">
      <c r="A14" s="93"/>
      <c r="E14" s="95"/>
    </row>
    <row r="15" ht="15.75" customHeight="1" spans="1:12">
      <c r="A15" s="111" t="s">
        <v>198</v>
      </c>
      <c r="H15" s="96"/>
    </row>
    <row r="16" ht="12.75" customHeight="1" spans="1:12">
      <c r="A16" s="112" t="s">
        <v>199</v>
      </c>
    </row>
    <row r="17" ht="12" customHeight="1" spans="1:13">
      <c r="A17" s="113" t="s">
        <v>200</v>
      </c>
      <c r="E17" s="114"/>
      <c r="H17" s="115"/>
      <c r="J17" s="116"/>
      <c r="K17" s="116"/>
      <c r="L17" s="116"/>
      <c r="M17" s="116"/>
    </row>
    <row r="18" ht="27.75" customHeight="1" spans="1:13">
      <c r="A18" s="117" t="s">
        <v>201</v>
      </c>
      <c r="B18" s="118"/>
      <c r="C18" s="119" t="s">
        <v>202</v>
      </c>
      <c r="D18" s="60"/>
      <c r="E18" s="117" t="s">
        <v>203</v>
      </c>
      <c r="F18" s="118"/>
      <c r="G18" s="117" t="s">
        <v>204</v>
      </c>
      <c r="H18" s="120" t="s">
        <v>205</v>
      </c>
    </row>
    <row r="19" ht="21.75" customHeight="1" spans="1:13">
      <c r="A19" s="117" t="s">
        <v>2</v>
      </c>
      <c r="B19" s="118"/>
      <c r="C19" s="119" t="s">
        <v>206</v>
      </c>
      <c r="D19" s="60"/>
      <c r="E19" s="117" t="s">
        <v>207</v>
      </c>
      <c r="F19" s="118"/>
      <c r="G19" s="117" t="s">
        <v>152</v>
      </c>
      <c r="H19" s="120" t="s">
        <v>208</v>
      </c>
    </row>
    <row r="20" ht="20.25" customHeight="1" spans="1:13">
      <c r="A20" s="121"/>
      <c r="B20" s="121"/>
      <c r="C20" s="122" t="s">
        <v>161</v>
      </c>
      <c r="D20" s="117" t="s">
        <v>163</v>
      </c>
      <c r="E20" s="123"/>
      <c r="F20" s="124" t="s">
        <v>209</v>
      </c>
      <c r="G20" s="118"/>
      <c r="H20" s="120" t="s">
        <v>210</v>
      </c>
      <c r="I20" s="125"/>
    </row>
    <row r="21" ht="49" customHeight="1" spans="1:13">
      <c r="A21" s="126">
        <v>1</v>
      </c>
      <c r="B21" s="121"/>
      <c r="C21" s="127" t="s">
        <v>20</v>
      </c>
      <c r="D21" s="128" t="s">
        <v>171</v>
      </c>
      <c r="E21" s="129" t="s">
        <v>211</v>
      </c>
      <c r="F21" s="130">
        <v>26</v>
      </c>
      <c r="G21" s="131">
        <v>1465.159</v>
      </c>
      <c r="H21" s="131">
        <v>38094.13</v>
      </c>
      <c r="I21" s="132"/>
      <c r="J21" s="133"/>
      <c r="K21" s="134"/>
      <c r="L21" s="134"/>
      <c r="M21" s="135"/>
    </row>
    <row r="22" ht="49" customHeight="1" spans="1:13">
      <c r="A22" s="126">
        <v>2</v>
      </c>
      <c r="B22" s="121"/>
      <c r="C22" s="127" t="s">
        <v>25</v>
      </c>
      <c r="D22" s="128" t="s">
        <v>171</v>
      </c>
      <c r="E22" s="129" t="s">
        <v>211</v>
      </c>
      <c r="F22" s="130">
        <v>6400</v>
      </c>
      <c r="G22" s="131">
        <v>0.42</v>
      </c>
      <c r="H22" s="131">
        <v>2688</v>
      </c>
      <c r="I22" s="132"/>
      <c r="J22" s="133"/>
      <c r="K22" s="134"/>
      <c r="L22" s="134"/>
      <c r="M22" s="135"/>
    </row>
    <row r="23" ht="49" customHeight="1" spans="1:13">
      <c r="A23" s="126">
        <v>3</v>
      </c>
      <c r="B23" s="121"/>
      <c r="C23" s="127" t="s">
        <v>29</v>
      </c>
      <c r="D23" s="128" t="s">
        <v>171</v>
      </c>
      <c r="E23" s="129" t="s">
        <v>211</v>
      </c>
      <c r="F23" s="130">
        <v>20000</v>
      </c>
      <c r="G23" s="131">
        <v>0.06</v>
      </c>
      <c r="H23" s="131">
        <v>1200</v>
      </c>
      <c r="I23" s="132"/>
      <c r="J23" s="133"/>
      <c r="K23" s="134"/>
      <c r="L23" s="134"/>
      <c r="M23" s="135"/>
    </row>
    <row r="24" ht="49" customHeight="1" spans="1:13">
      <c r="A24" s="126">
        <v>4</v>
      </c>
      <c r="B24" s="121"/>
      <c r="C24" s="127" t="s">
        <v>33</v>
      </c>
      <c r="D24" s="128" t="s">
        <v>171</v>
      </c>
      <c r="E24" s="129" t="s">
        <v>211</v>
      </c>
      <c r="F24" s="130">
        <v>1</v>
      </c>
      <c r="G24" s="131">
        <v>1127</v>
      </c>
      <c r="H24" s="131">
        <v>1127</v>
      </c>
      <c r="I24" s="132"/>
      <c r="J24" s="133"/>
      <c r="K24" s="134"/>
      <c r="L24" s="134"/>
      <c r="M24" s="135"/>
    </row>
    <row r="25" ht="49" customHeight="1" spans="1:13">
      <c r="A25" s="126">
        <v>5</v>
      </c>
      <c r="B25" s="121"/>
      <c r="C25" s="127" t="s">
        <v>36</v>
      </c>
      <c r="D25" s="128" t="s">
        <v>171</v>
      </c>
      <c r="E25" s="129" t="s">
        <v>211</v>
      </c>
      <c r="F25" s="130">
        <v>1</v>
      </c>
      <c r="G25" s="131">
        <v>911</v>
      </c>
      <c r="H25" s="131">
        <v>911</v>
      </c>
      <c r="I25" s="132"/>
      <c r="J25" s="133"/>
      <c r="K25" s="134"/>
      <c r="L25" s="134"/>
      <c r="M25" s="135"/>
    </row>
    <row r="26" ht="49" customHeight="1" spans="1:13">
      <c r="A26" s="126">
        <v>6</v>
      </c>
      <c r="B26" s="121"/>
      <c r="C26" s="127" t="s">
        <v>39</v>
      </c>
      <c r="D26" s="128" t="s">
        <v>171</v>
      </c>
      <c r="E26" s="129" t="s">
        <v>211</v>
      </c>
      <c r="F26" s="130">
        <v>1</v>
      </c>
      <c r="G26" s="131">
        <v>1127</v>
      </c>
      <c r="H26" s="131">
        <v>1127</v>
      </c>
      <c r="I26" s="132"/>
      <c r="J26" s="133"/>
      <c r="K26" s="134"/>
      <c r="L26" s="134"/>
      <c r="M26" s="135"/>
    </row>
    <row r="27" ht="49" customHeight="1" spans="1:13">
      <c r="A27" s="126">
        <v>7</v>
      </c>
      <c r="B27" s="121"/>
      <c r="C27" s="127" t="s">
        <v>41</v>
      </c>
      <c r="D27" s="128" t="s">
        <v>171</v>
      </c>
      <c r="E27" s="129" t="s">
        <v>211</v>
      </c>
      <c r="F27" s="130">
        <v>1</v>
      </c>
      <c r="G27" s="131">
        <v>965</v>
      </c>
      <c r="H27" s="131">
        <v>965</v>
      </c>
      <c r="I27" s="132"/>
      <c r="J27" s="133"/>
      <c r="K27" s="134"/>
      <c r="L27" s="134"/>
      <c r="M27" s="135"/>
    </row>
    <row r="28" ht="49" customHeight="1" spans="1:13">
      <c r="A28" s="126">
        <v>8</v>
      </c>
      <c r="B28" s="121"/>
      <c r="C28" s="127" t="s">
        <v>42</v>
      </c>
      <c r="D28" s="128" t="s">
        <v>171</v>
      </c>
      <c r="E28" s="129" t="s">
        <v>211</v>
      </c>
      <c r="F28" s="130">
        <v>1</v>
      </c>
      <c r="G28" s="131">
        <v>965</v>
      </c>
      <c r="H28" s="131">
        <v>965</v>
      </c>
      <c r="I28" s="132"/>
      <c r="J28" s="133"/>
      <c r="K28" s="134"/>
      <c r="L28" s="134"/>
      <c r="M28" s="135"/>
    </row>
    <row r="29" ht="49" customHeight="1" spans="1:13">
      <c r="A29" s="126">
        <v>9</v>
      </c>
      <c r="B29" s="121"/>
      <c r="C29" s="127" t="s">
        <v>43</v>
      </c>
      <c r="D29" s="128" t="s">
        <v>171</v>
      </c>
      <c r="E29" s="129" t="s">
        <v>211</v>
      </c>
      <c r="F29" s="130">
        <v>1</v>
      </c>
      <c r="G29" s="131">
        <v>965</v>
      </c>
      <c r="H29" s="131">
        <v>965</v>
      </c>
      <c r="I29" s="132"/>
      <c r="J29" s="133"/>
      <c r="K29" s="134"/>
      <c r="L29" s="134"/>
      <c r="M29" s="135"/>
    </row>
    <row r="30" ht="49" customHeight="1" spans="1:13">
      <c r="A30" s="126">
        <v>10</v>
      </c>
      <c r="B30" s="121"/>
      <c r="C30" s="127" t="s">
        <v>44</v>
      </c>
      <c r="D30" s="128" t="s">
        <v>171</v>
      </c>
      <c r="E30" s="129" t="s">
        <v>211</v>
      </c>
      <c r="F30" s="130">
        <v>1</v>
      </c>
      <c r="G30" s="131">
        <v>965</v>
      </c>
      <c r="H30" s="131">
        <v>965</v>
      </c>
      <c r="I30" s="132"/>
      <c r="J30" s="133"/>
      <c r="K30" s="134"/>
      <c r="L30" s="134"/>
      <c r="M30" s="135"/>
    </row>
    <row r="31" ht="49" customHeight="1" spans="1:13">
      <c r="A31" s="126">
        <v>11</v>
      </c>
      <c r="B31" s="121"/>
      <c r="C31" s="127" t="s">
        <v>45</v>
      </c>
      <c r="D31" s="128" t="s">
        <v>171</v>
      </c>
      <c r="E31" s="129" t="s">
        <v>211</v>
      </c>
      <c r="F31" s="130">
        <v>1</v>
      </c>
      <c r="G31" s="131">
        <v>965</v>
      </c>
      <c r="H31" s="131">
        <v>965</v>
      </c>
      <c r="I31" s="132"/>
      <c r="J31" s="133"/>
      <c r="K31" s="134"/>
      <c r="L31" s="134"/>
      <c r="M31" s="135"/>
    </row>
    <row r="32" ht="49" customHeight="1" spans="1:13">
      <c r="A32" s="126">
        <v>12</v>
      </c>
      <c r="B32" s="121"/>
      <c r="C32" s="127" t="s">
        <v>46</v>
      </c>
      <c r="D32" s="128" t="s">
        <v>171</v>
      </c>
      <c r="E32" s="129" t="s">
        <v>211</v>
      </c>
      <c r="F32" s="130">
        <v>1</v>
      </c>
      <c r="G32" s="131">
        <v>965</v>
      </c>
      <c r="H32" s="131">
        <v>965</v>
      </c>
      <c r="I32" s="132"/>
      <c r="J32" s="133"/>
      <c r="K32" s="134"/>
      <c r="L32" s="134"/>
      <c r="M32" s="135"/>
    </row>
    <row r="33" ht="49" customHeight="1" spans="1:13">
      <c r="A33" s="126">
        <v>13</v>
      </c>
      <c r="B33" s="121"/>
      <c r="C33" s="127" t="s">
        <v>48</v>
      </c>
      <c r="D33" s="128" t="s">
        <v>171</v>
      </c>
      <c r="E33" s="129" t="s">
        <v>211</v>
      </c>
      <c r="F33" s="130">
        <v>1</v>
      </c>
      <c r="G33" s="131">
        <v>911</v>
      </c>
      <c r="H33" s="131">
        <v>911</v>
      </c>
      <c r="I33" s="132"/>
      <c r="J33" s="133"/>
      <c r="K33" s="134"/>
      <c r="L33" s="134"/>
      <c r="M33" s="135"/>
    </row>
    <row r="34" ht="49" customHeight="1" spans="1:13">
      <c r="A34" s="126">
        <v>14</v>
      </c>
      <c r="B34" s="121"/>
      <c r="C34" s="127" t="s">
        <v>51</v>
      </c>
      <c r="D34" s="128" t="s">
        <v>171</v>
      </c>
      <c r="E34" s="129" t="s">
        <v>211</v>
      </c>
      <c r="F34" s="130">
        <v>1</v>
      </c>
      <c r="G34" s="131">
        <v>965</v>
      </c>
      <c r="H34" s="131">
        <v>965</v>
      </c>
      <c r="I34" s="132"/>
      <c r="J34" s="133"/>
      <c r="K34" s="134"/>
      <c r="L34" s="134"/>
      <c r="M34" s="135"/>
    </row>
    <row r="35" ht="49" customHeight="1" spans="1:13">
      <c r="A35" s="126">
        <v>15</v>
      </c>
      <c r="B35" s="121"/>
      <c r="C35" s="127" t="s">
        <v>53</v>
      </c>
      <c r="D35" s="128" t="s">
        <v>171</v>
      </c>
      <c r="E35" s="129" t="s">
        <v>211</v>
      </c>
      <c r="F35" s="130">
        <v>1</v>
      </c>
      <c r="G35" s="131">
        <v>732</v>
      </c>
      <c r="H35" s="131">
        <v>732</v>
      </c>
      <c r="I35" s="132"/>
      <c r="J35" s="133"/>
      <c r="K35" s="134"/>
      <c r="L35" s="134"/>
      <c r="M35" s="135"/>
    </row>
    <row r="36" ht="49" customHeight="1" spans="1:13">
      <c r="A36" s="126">
        <v>16</v>
      </c>
      <c r="B36" s="121"/>
      <c r="C36" s="127" t="s">
        <v>57</v>
      </c>
      <c r="D36" s="128" t="s">
        <v>171</v>
      </c>
      <c r="E36" s="129" t="s">
        <v>211</v>
      </c>
      <c r="F36" s="130">
        <v>1</v>
      </c>
      <c r="G36" s="131">
        <v>847</v>
      </c>
      <c r="H36" s="131">
        <v>847</v>
      </c>
      <c r="I36" s="132"/>
      <c r="J36" s="133"/>
      <c r="K36" s="134"/>
      <c r="L36" s="134"/>
      <c r="M36" s="135"/>
    </row>
    <row r="37" ht="49" customHeight="1" spans="1:13">
      <c r="A37" s="126">
        <v>17</v>
      </c>
      <c r="B37" s="121"/>
      <c r="C37" s="127" t="s">
        <v>61</v>
      </c>
      <c r="D37" s="128" t="s">
        <v>171</v>
      </c>
      <c r="E37" s="129" t="s">
        <v>211</v>
      </c>
      <c r="F37" s="130">
        <v>1</v>
      </c>
      <c r="G37" s="131">
        <v>296</v>
      </c>
      <c r="H37" s="131">
        <v>296</v>
      </c>
      <c r="I37" s="132"/>
      <c r="J37" s="133"/>
      <c r="K37" s="134"/>
      <c r="L37" s="134"/>
      <c r="M37" s="135"/>
    </row>
    <row r="38" ht="49" customHeight="1" spans="1:13">
      <c r="A38" s="126">
        <v>18</v>
      </c>
      <c r="B38" s="121"/>
      <c r="C38" s="127" t="s">
        <v>64</v>
      </c>
      <c r="D38" s="128" t="s">
        <v>171</v>
      </c>
      <c r="E38" s="129" t="s">
        <v>211</v>
      </c>
      <c r="F38" s="130">
        <v>1</v>
      </c>
      <c r="G38" s="131">
        <v>0</v>
      </c>
      <c r="H38" s="131">
        <v>0</v>
      </c>
      <c r="I38" s="132"/>
      <c r="J38" s="133"/>
      <c r="K38" s="134"/>
      <c r="L38" s="134"/>
      <c r="M38" s="135"/>
    </row>
    <row r="39" ht="49" customHeight="1" spans="1:13">
      <c r="A39" s="126">
        <v>19</v>
      </c>
      <c r="B39" s="121"/>
      <c r="C39" s="127" t="s">
        <v>68</v>
      </c>
      <c r="D39" s="128" t="s">
        <v>171</v>
      </c>
      <c r="E39" s="129" t="s">
        <v>211</v>
      </c>
      <c r="F39" s="130">
        <v>1</v>
      </c>
      <c r="G39" s="131">
        <v>0</v>
      </c>
      <c r="H39" s="131">
        <v>0</v>
      </c>
      <c r="I39" s="132"/>
      <c r="J39" s="133"/>
      <c r="K39" s="134"/>
      <c r="L39" s="134"/>
      <c r="M39" s="135"/>
    </row>
    <row r="40" ht="49" customHeight="1" spans="1:13">
      <c r="A40" s="126">
        <v>20</v>
      </c>
      <c r="B40" s="121"/>
      <c r="C40" s="127" t="s">
        <v>71</v>
      </c>
      <c r="D40" s="128" t="s">
        <v>171</v>
      </c>
      <c r="E40" s="129" t="s">
        <v>211</v>
      </c>
      <c r="F40" s="130">
        <v>1</v>
      </c>
      <c r="G40" s="131">
        <v>0</v>
      </c>
      <c r="H40" s="131">
        <v>0</v>
      </c>
      <c r="I40" s="132"/>
      <c r="J40" s="133"/>
      <c r="K40" s="134"/>
      <c r="L40" s="134"/>
      <c r="M40" s="135"/>
    </row>
    <row r="41" ht="49" customHeight="1" spans="1:13">
      <c r="A41" s="126">
        <v>21</v>
      </c>
      <c r="B41" s="121"/>
      <c r="C41" s="127" t="s">
        <v>73</v>
      </c>
      <c r="D41" s="128" t="s">
        <v>171</v>
      </c>
      <c r="E41" s="129" t="s">
        <v>211</v>
      </c>
      <c r="F41" s="130">
        <v>1</v>
      </c>
      <c r="G41" s="131">
        <v>0</v>
      </c>
      <c r="H41" s="131">
        <v>0</v>
      </c>
      <c r="I41" s="132"/>
      <c r="J41" s="133"/>
      <c r="K41" s="134"/>
      <c r="L41" s="134"/>
      <c r="M41" s="135"/>
    </row>
    <row r="42" ht="49" customHeight="1" spans="1:13">
      <c r="A42" s="126">
        <v>22</v>
      </c>
      <c r="B42" s="121"/>
      <c r="C42" s="127" t="s">
        <v>76</v>
      </c>
      <c r="D42" s="128" t="s">
        <v>171</v>
      </c>
      <c r="E42" s="129" t="s">
        <v>211</v>
      </c>
      <c r="F42" s="130">
        <v>2</v>
      </c>
      <c r="G42" s="131">
        <v>0</v>
      </c>
      <c r="H42" s="131">
        <v>0</v>
      </c>
      <c r="I42" s="132"/>
      <c r="J42" s="133"/>
      <c r="K42" s="134"/>
      <c r="L42" s="134"/>
      <c r="M42" s="135"/>
    </row>
    <row r="43" ht="49" customHeight="1" spans="1:13">
      <c r="A43" s="126">
        <v>23</v>
      </c>
      <c r="B43" s="121"/>
      <c r="C43" s="127" t="s">
        <v>78</v>
      </c>
      <c r="D43" s="128" t="s">
        <v>171</v>
      </c>
      <c r="E43" s="129" t="s">
        <v>211</v>
      </c>
      <c r="F43" s="130">
        <v>2</v>
      </c>
      <c r="G43" s="131">
        <v>0</v>
      </c>
      <c r="H43" s="131">
        <v>0</v>
      </c>
      <c r="I43" s="132"/>
      <c r="J43" s="133"/>
      <c r="K43" s="134"/>
      <c r="L43" s="134"/>
      <c r="M43" s="135"/>
    </row>
    <row r="44" ht="49" customHeight="1" spans="1:13">
      <c r="A44" s="126">
        <v>24</v>
      </c>
      <c r="B44" s="121"/>
      <c r="C44" s="127" t="s">
        <v>81</v>
      </c>
      <c r="D44" s="128" t="s">
        <v>171</v>
      </c>
      <c r="E44" s="129" t="s">
        <v>211</v>
      </c>
      <c r="F44" s="130">
        <v>2</v>
      </c>
      <c r="G44" s="131">
        <v>0</v>
      </c>
      <c r="H44" s="131">
        <v>0</v>
      </c>
      <c r="I44" s="132"/>
      <c r="J44" s="133"/>
      <c r="K44" s="134"/>
      <c r="L44" s="134"/>
      <c r="M44" s="135"/>
    </row>
    <row r="45" ht="49" customHeight="1" spans="1:13">
      <c r="A45" s="126">
        <v>25</v>
      </c>
      <c r="B45" s="121"/>
      <c r="C45" s="127" t="s">
        <v>83</v>
      </c>
      <c r="D45" s="128" t="s">
        <v>171</v>
      </c>
      <c r="E45" s="129" t="s">
        <v>211</v>
      </c>
      <c r="F45" s="130">
        <v>2</v>
      </c>
      <c r="G45" s="131">
        <v>0</v>
      </c>
      <c r="H45" s="131">
        <v>0</v>
      </c>
      <c r="I45" s="132"/>
      <c r="J45" s="133"/>
      <c r="K45" s="134"/>
      <c r="L45" s="134"/>
      <c r="M45" s="135"/>
    </row>
    <row r="46" ht="49" customHeight="1" spans="1:13">
      <c r="A46" s="126">
        <v>26</v>
      </c>
      <c r="B46" s="121"/>
      <c r="C46" s="127" t="s">
        <v>87</v>
      </c>
      <c r="D46" s="128" t="s">
        <v>171</v>
      </c>
      <c r="E46" s="129" t="s">
        <v>211</v>
      </c>
      <c r="F46" s="130">
        <v>1</v>
      </c>
      <c r="G46" s="131">
        <v>0</v>
      </c>
      <c r="H46" s="131">
        <v>0</v>
      </c>
      <c r="I46" s="132"/>
      <c r="J46" s="133"/>
      <c r="K46" s="134"/>
      <c r="L46" s="134"/>
      <c r="M46" s="135"/>
    </row>
    <row r="47" ht="49" customHeight="1" spans="1:13">
      <c r="A47" s="126">
        <v>27</v>
      </c>
      <c r="B47" s="121"/>
      <c r="C47" s="127" t="s">
        <v>90</v>
      </c>
      <c r="D47" s="128" t="s">
        <v>171</v>
      </c>
      <c r="E47" s="129" t="s">
        <v>211</v>
      </c>
      <c r="F47" s="130">
        <v>1</v>
      </c>
      <c r="G47" s="131">
        <v>0</v>
      </c>
      <c r="H47" s="131">
        <v>0</v>
      </c>
      <c r="I47" s="132"/>
      <c r="J47" s="133"/>
      <c r="K47" s="134"/>
      <c r="L47" s="134"/>
      <c r="M47" s="135"/>
    </row>
    <row r="48" ht="49" customHeight="1" spans="1:13">
      <c r="A48" s="126">
        <v>28</v>
      </c>
      <c r="B48" s="121"/>
      <c r="C48" s="127" t="s">
        <v>94</v>
      </c>
      <c r="D48" s="128" t="s">
        <v>171</v>
      </c>
      <c r="E48" s="129" t="s">
        <v>211</v>
      </c>
      <c r="F48" s="130">
        <v>2</v>
      </c>
      <c r="G48" s="131">
        <v>0</v>
      </c>
      <c r="H48" s="131">
        <v>0</v>
      </c>
      <c r="I48" s="132"/>
      <c r="J48" s="133"/>
      <c r="K48" s="134"/>
      <c r="L48" s="134"/>
      <c r="M48" s="135"/>
    </row>
    <row r="49" ht="49" customHeight="1" spans="1:13">
      <c r="A49" s="126">
        <v>29</v>
      </c>
      <c r="B49" s="121"/>
      <c r="C49" s="127" t="s">
        <v>98</v>
      </c>
      <c r="D49" s="128" t="s">
        <v>171</v>
      </c>
      <c r="E49" s="129" t="s">
        <v>211</v>
      </c>
      <c r="F49" s="130">
        <v>1</v>
      </c>
      <c r="G49" s="131">
        <v>0</v>
      </c>
      <c r="H49" s="131">
        <v>0</v>
      </c>
      <c r="I49" s="132"/>
      <c r="J49" s="133"/>
      <c r="K49" s="134"/>
      <c r="L49" s="134"/>
      <c r="M49" s="135"/>
    </row>
    <row r="50" ht="49" customHeight="1" spans="1:13">
      <c r="A50" s="126">
        <v>30</v>
      </c>
      <c r="B50" s="121"/>
      <c r="C50" s="127" t="s">
        <v>102</v>
      </c>
      <c r="D50" s="128" t="s">
        <v>171</v>
      </c>
      <c r="E50" s="129" t="s">
        <v>211</v>
      </c>
      <c r="F50" s="130">
        <v>30</v>
      </c>
      <c r="G50" s="131">
        <v>0</v>
      </c>
      <c r="H50" s="131">
        <v>0</v>
      </c>
      <c r="I50" s="132"/>
      <c r="J50" s="133"/>
      <c r="K50" s="134"/>
      <c r="L50" s="134"/>
      <c r="M50" s="135"/>
    </row>
    <row r="51" ht="49" customHeight="1" spans="1:13">
      <c r="A51" s="126">
        <v>31</v>
      </c>
      <c r="B51" s="121"/>
      <c r="C51" s="127" t="s">
        <v>102</v>
      </c>
      <c r="D51" s="128" t="s">
        <v>171</v>
      </c>
      <c r="E51" s="129" t="s">
        <v>211</v>
      </c>
      <c r="F51" s="130">
        <v>50</v>
      </c>
      <c r="G51" s="131">
        <v>0</v>
      </c>
      <c r="H51" s="131">
        <v>0</v>
      </c>
      <c r="I51" s="132"/>
      <c r="J51" s="133"/>
      <c r="K51" s="134"/>
      <c r="L51" s="134"/>
      <c r="M51" s="135"/>
    </row>
    <row r="52" ht="49" customHeight="1" spans="1:13">
      <c r="A52" s="126">
        <v>32</v>
      </c>
      <c r="B52" s="121"/>
      <c r="C52" s="127" t="s">
        <v>106</v>
      </c>
      <c r="D52" s="128" t="s">
        <v>171</v>
      </c>
      <c r="E52" s="129" t="s">
        <v>211</v>
      </c>
      <c r="F52" s="130">
        <v>50</v>
      </c>
      <c r="G52" s="131">
        <v>0</v>
      </c>
      <c r="H52" s="131">
        <v>0</v>
      </c>
      <c r="I52" s="132"/>
      <c r="J52" s="133"/>
      <c r="K52" s="134"/>
      <c r="L52" s="134"/>
      <c r="M52" s="135"/>
    </row>
    <row r="53" ht="49" customHeight="1" spans="1:13">
      <c r="A53" s="126">
        <v>33</v>
      </c>
      <c r="B53" s="121"/>
      <c r="C53" s="127" t="s">
        <v>109</v>
      </c>
      <c r="D53" s="128" t="s">
        <v>171</v>
      </c>
      <c r="E53" s="129" t="s">
        <v>211</v>
      </c>
      <c r="F53" s="130">
        <v>1</v>
      </c>
      <c r="G53" s="131">
        <v>0</v>
      </c>
      <c r="H53" s="131">
        <v>0</v>
      </c>
      <c r="I53" s="132"/>
      <c r="J53" s="133"/>
      <c r="K53" s="134"/>
      <c r="L53" s="134"/>
      <c r="M53" s="135"/>
    </row>
    <row r="54" ht="49" customHeight="1" spans="1:13">
      <c r="A54" s="126">
        <v>34</v>
      </c>
      <c r="B54" s="121"/>
      <c r="C54" s="127" t="s">
        <v>113</v>
      </c>
      <c r="D54" s="128" t="s">
        <v>171</v>
      </c>
      <c r="E54" s="129" t="s">
        <v>211</v>
      </c>
      <c r="F54" s="130">
        <v>3</v>
      </c>
      <c r="G54" s="131">
        <v>0</v>
      </c>
      <c r="H54" s="131">
        <v>0</v>
      </c>
      <c r="I54" s="132"/>
      <c r="J54" s="133"/>
      <c r="K54" s="134"/>
      <c r="L54" s="134"/>
      <c r="M54" s="135"/>
    </row>
    <row r="55" ht="49" customHeight="1" spans="1:13">
      <c r="A55" s="126">
        <v>35</v>
      </c>
      <c r="B55" s="121"/>
      <c r="C55" s="127" t="s">
        <v>116</v>
      </c>
      <c r="D55" s="128" t="s">
        <v>171</v>
      </c>
      <c r="E55" s="129" t="s">
        <v>211</v>
      </c>
      <c r="F55" s="130">
        <v>2</v>
      </c>
      <c r="G55" s="131">
        <v>0</v>
      </c>
      <c r="H55" s="131">
        <v>0</v>
      </c>
      <c r="I55" s="132"/>
      <c r="J55" s="133"/>
      <c r="K55" s="134"/>
      <c r="L55" s="134"/>
      <c r="M55" s="135"/>
    </row>
    <row r="56" ht="49" customHeight="1" spans="1:13">
      <c r="A56" s="126">
        <v>36</v>
      </c>
      <c r="B56" s="121"/>
      <c r="C56" s="127" t="s">
        <v>119</v>
      </c>
      <c r="D56" s="128" t="s">
        <v>171</v>
      </c>
      <c r="E56" s="129" t="s">
        <v>211</v>
      </c>
      <c r="F56" s="130">
        <v>1</v>
      </c>
      <c r="G56" s="131">
        <v>0</v>
      </c>
      <c r="H56" s="131">
        <v>0</v>
      </c>
      <c r="I56" s="132"/>
      <c r="J56" s="133"/>
      <c r="K56" s="134"/>
      <c r="L56" s="134"/>
      <c r="M56" s="135"/>
    </row>
    <row r="57" ht="49" customHeight="1" spans="1:13">
      <c r="A57" s="126">
        <v>37</v>
      </c>
      <c r="B57" s="121"/>
      <c r="C57" s="127" t="s">
        <v>122</v>
      </c>
      <c r="D57" s="128" t="s">
        <v>171</v>
      </c>
      <c r="E57" s="129" t="s">
        <v>211</v>
      </c>
      <c r="F57" s="130">
        <v>2</v>
      </c>
      <c r="G57" s="131">
        <v>0</v>
      </c>
      <c r="H57" s="131">
        <v>0</v>
      </c>
      <c r="I57" s="132"/>
      <c r="J57" s="133"/>
      <c r="K57" s="134"/>
      <c r="L57" s="134"/>
      <c r="M57" s="135"/>
    </row>
    <row r="58" ht="49" customHeight="1" spans="1:13">
      <c r="A58" s="126">
        <v>38</v>
      </c>
      <c r="B58" s="121"/>
      <c r="C58" s="127" t="s">
        <v>126</v>
      </c>
      <c r="D58" s="128" t="s">
        <v>171</v>
      </c>
      <c r="E58" s="129" t="s">
        <v>211</v>
      </c>
      <c r="F58" s="130">
        <v>50</v>
      </c>
      <c r="G58" s="131">
        <v>0</v>
      </c>
      <c r="H58" s="131">
        <v>0</v>
      </c>
      <c r="I58" s="132"/>
      <c r="J58" s="133"/>
      <c r="K58" s="134"/>
      <c r="L58" s="134"/>
      <c r="M58" s="135"/>
    </row>
    <row r="59" ht="49" customHeight="1" spans="1:13">
      <c r="A59" s="126">
        <v>39</v>
      </c>
      <c r="B59" s="121"/>
      <c r="C59" s="127" t="s">
        <v>126</v>
      </c>
      <c r="D59" s="128" t="s">
        <v>171</v>
      </c>
      <c r="E59" s="129" t="s">
        <v>211</v>
      </c>
      <c r="F59" s="130">
        <v>50</v>
      </c>
      <c r="G59" s="131">
        <v>0</v>
      </c>
      <c r="H59" s="131">
        <v>0</v>
      </c>
      <c r="I59" s="132"/>
      <c r="J59" s="133"/>
      <c r="K59" s="134"/>
      <c r="L59" s="134"/>
      <c r="M59" s="135"/>
    </row>
    <row r="60" ht="49" customHeight="1" spans="1:13">
      <c r="A60" s="126">
        <v>40</v>
      </c>
      <c r="B60" s="121"/>
      <c r="C60" s="127" t="s">
        <v>130</v>
      </c>
      <c r="D60" s="128" t="s">
        <v>171</v>
      </c>
      <c r="E60" s="129" t="s">
        <v>211</v>
      </c>
      <c r="F60" s="130">
        <v>1</v>
      </c>
      <c r="G60" s="131">
        <v>0</v>
      </c>
      <c r="H60" s="131">
        <v>0</v>
      </c>
      <c r="I60" s="132"/>
      <c r="J60" s="133"/>
      <c r="K60" s="134"/>
      <c r="L60" s="134"/>
      <c r="M60" s="135"/>
    </row>
    <row r="61" ht="49" customHeight="1" spans="1:13">
      <c r="A61" s="126">
        <v>41</v>
      </c>
      <c r="B61" s="121"/>
      <c r="C61" s="127" t="s">
        <v>133</v>
      </c>
      <c r="D61" s="128" t="s">
        <v>171</v>
      </c>
      <c r="E61" s="129" t="s">
        <v>211</v>
      </c>
      <c r="F61" s="130">
        <v>5</v>
      </c>
      <c r="G61" s="131">
        <v>0</v>
      </c>
      <c r="H61" s="131">
        <v>0</v>
      </c>
      <c r="I61" s="132"/>
      <c r="J61" s="133"/>
      <c r="K61" s="134"/>
      <c r="L61" s="134"/>
      <c r="M61" s="135"/>
    </row>
    <row r="62" ht="49" customHeight="1" spans="1:13">
      <c r="A62" s="126">
        <v>42</v>
      </c>
      <c r="B62" s="121"/>
      <c r="C62" s="127" t="s">
        <v>137</v>
      </c>
      <c r="D62" s="128" t="s">
        <v>171</v>
      </c>
      <c r="E62" s="129" t="s">
        <v>211</v>
      </c>
      <c r="F62" s="130">
        <v>100</v>
      </c>
      <c r="G62" s="131">
        <v>0.67</v>
      </c>
      <c r="H62" s="131">
        <v>67</v>
      </c>
      <c r="I62" s="132"/>
      <c r="J62" s="133"/>
      <c r="K62" s="134"/>
      <c r="L62" s="134"/>
      <c r="M62" s="135"/>
    </row>
    <row r="63" ht="21" customHeight="1" spans="1:13">
      <c r="A63" s="136"/>
      <c r="B63" s="136"/>
      <c r="C63" s="136"/>
      <c r="D63" s="137"/>
      <c r="E63" s="138"/>
      <c r="F63" s="139"/>
      <c r="G63" s="140" t="s">
        <v>140</v>
      </c>
      <c r="H63" s="141">
        <f xml:space="preserve">SUM(H21:H62)</f>
        <v>54755.13</v>
      </c>
      <c r="I63" s="132"/>
      <c r="J63" s="142"/>
      <c r="K63" s="134"/>
      <c r="L63" s="143"/>
      <c r="M63" s="144"/>
    </row>
    <row r="64" ht="19.5" customHeight="1" spans="1:13">
      <c r="A64" s="145" t="s">
        <v>212</v>
      </c>
      <c r="B64" s="145" t="s">
        <v>23</v>
      </c>
      <c r="C64" s="146"/>
      <c r="D64" s="137"/>
      <c r="E64" s="147"/>
      <c r="F64" s="137"/>
      <c r="G64" s="137"/>
      <c r="H64" s="148"/>
      <c r="I64" s="149"/>
      <c r="J64" s="144"/>
      <c r="K64" s="144"/>
      <c r="L64" s="143"/>
      <c r="M64" s="144"/>
    </row>
    <row r="65" ht="19.5" customHeight="1" spans="1:13">
      <c r="A65" s="145" t="s">
        <v>213</v>
      </c>
      <c r="B65" s="145" t="s">
        <v>214</v>
      </c>
      <c r="C65" s="137"/>
      <c r="D65" s="150"/>
      <c r="E65" s="147"/>
      <c r="F65" s="137"/>
      <c r="G65" s="137"/>
      <c r="H65" s="151"/>
      <c r="I65" s="149"/>
      <c r="J65" s="144"/>
      <c r="K65" s="144"/>
      <c r="L65" s="144"/>
      <c r="M65" s="144"/>
    </row>
    <row r="66" ht="19.5" customHeight="1" spans="1:13">
      <c r="A66" s="145" t="s">
        <v>215</v>
      </c>
      <c r="B66" s="137"/>
      <c r="C66" s="137"/>
      <c r="D66" s="137"/>
      <c r="E66" s="152" t="s">
        <v>216</v>
      </c>
      <c r="F66" s="153" t="s">
        <v>157</v>
      </c>
      <c r="G66" s="154"/>
      <c r="H66" s="132"/>
      <c r="I66" s="149"/>
      <c r="J66" s="149"/>
      <c r="K66" s="149"/>
      <c r="L66" s="155"/>
      <c r="M66" s="137"/>
    </row>
    <row r="67" ht="19.5" customHeight="1" spans="1:13">
      <c r="A67" s="145" t="s">
        <v>217</v>
      </c>
      <c r="B67" s="137"/>
      <c r="C67" s="137"/>
      <c r="D67" s="137"/>
      <c r="E67" s="147"/>
      <c r="F67" s="137"/>
      <c r="G67" s="137"/>
      <c r="H67" s="132"/>
      <c r="I67" s="137"/>
      <c r="J67" s="137"/>
      <c r="K67" s="137"/>
      <c r="L67" s="137"/>
      <c r="M67" s="137"/>
    </row>
    <row r="68" ht="19.5" customHeight="1" spans="1:13">
      <c r="A68" s="113" t="s">
        <v>218</v>
      </c>
      <c r="B68" s="137"/>
      <c r="C68" s="137"/>
      <c r="D68" s="137"/>
      <c r="E68" s="156"/>
      <c r="F68" s="137"/>
      <c r="G68" s="137"/>
      <c r="H68" s="132"/>
      <c r="I68" s="137"/>
      <c r="J68" s="137"/>
      <c r="K68" s="137"/>
      <c r="L68" s="137"/>
      <c r="M68" s="137"/>
    </row>
    <row r="69" ht="19.5" customHeight="1" spans="1:13">
      <c r="A69" s="145" t="s">
        <v>219</v>
      </c>
      <c r="B69" s="157" t="s">
        <v>220</v>
      </c>
      <c r="C69" s="137"/>
      <c r="D69" s="137"/>
      <c r="E69" s="147"/>
      <c r="F69" s="137"/>
      <c r="G69" s="137"/>
      <c r="H69" s="132"/>
      <c r="I69" s="137"/>
      <c r="J69" s="137"/>
      <c r="K69" s="137"/>
      <c r="L69" s="137"/>
      <c r="M69" s="137"/>
    </row>
    <row r="70" ht="20.25" customHeight="1" spans="1:13">
      <c r="A70" s="145" t="s">
        <v>221</v>
      </c>
      <c r="B70" s="158" t="s">
        <v>222</v>
      </c>
      <c r="C70" s="137"/>
      <c r="D70" s="137"/>
      <c r="E70" s="147"/>
      <c r="F70" s="137"/>
      <c r="G70" s="137"/>
      <c r="H70" s="159"/>
      <c r="I70" s="137"/>
      <c r="J70" s="137"/>
      <c r="K70" s="137"/>
      <c r="L70" s="137"/>
      <c r="M70" s="137"/>
    </row>
    <row r="71" ht="20.25" customHeight="1" spans="1:13">
      <c r="A71" s="145" t="s">
        <v>223</v>
      </c>
      <c r="B71" s="137"/>
      <c r="C71" s="137"/>
      <c r="D71" s="137"/>
      <c r="E71" s="147"/>
      <c r="F71" s="137"/>
      <c r="G71" s="137"/>
      <c r="H71" s="159"/>
      <c r="I71" s="137"/>
      <c r="J71" s="137"/>
      <c r="K71" s="137"/>
      <c r="L71" s="137"/>
      <c r="M71" s="137"/>
    </row>
    <row r="72" ht="20.25" customHeight="1" spans="1:13">
      <c r="A72" s="145" t="s">
        <v>224</v>
      </c>
      <c r="B72" s="145" t="s">
        <v>225</v>
      </c>
      <c r="C72" s="137"/>
      <c r="D72" s="137"/>
      <c r="E72" s="147"/>
      <c r="F72" s="137"/>
      <c r="G72" s="137"/>
      <c r="H72" s="159"/>
      <c r="I72" s="137"/>
      <c r="J72" s="137"/>
      <c r="K72" s="137"/>
      <c r="L72" s="137"/>
      <c r="M72" s="137"/>
    </row>
    <row r="73" ht="20.25" customHeight="1" spans="1:13">
      <c r="A73" s="160" t="s">
        <v>226</v>
      </c>
      <c r="B73" s="137"/>
      <c r="C73" s="137"/>
      <c r="D73" s="145" t="s">
        <v>227</v>
      </c>
      <c r="E73" s="147"/>
      <c r="F73" s="137"/>
      <c r="G73" s="137"/>
      <c r="H73" s="159"/>
      <c r="I73" s="137"/>
      <c r="J73" s="137"/>
      <c r="K73" s="137"/>
      <c r="L73" s="137"/>
      <c r="M73" s="137"/>
    </row>
    <row r="74" ht="20.25" customHeight="1" spans="1:13">
      <c r="A74" s="145" t="s">
        <v>228</v>
      </c>
      <c r="B74" s="145" t="s">
        <v>229</v>
      </c>
      <c r="C74" s="137"/>
      <c r="D74" s="137"/>
      <c r="E74" s="147"/>
      <c r="F74" s="137"/>
      <c r="G74" s="137"/>
      <c r="H74" s="159"/>
      <c r="I74" s="137"/>
      <c r="J74" s="137"/>
      <c r="K74" s="137"/>
      <c r="L74" s="137"/>
      <c r="M74" s="137"/>
    </row>
    <row r="75" ht="20.25" customHeight="1" spans="1:13">
      <c r="A75" s="137"/>
      <c r="B75" s="137"/>
      <c r="C75" s="137"/>
      <c r="D75" s="137"/>
      <c r="E75" s="147"/>
      <c r="F75" s="137"/>
      <c r="G75" s="137"/>
      <c r="H75" s="159"/>
      <c r="I75" s="137"/>
      <c r="J75" s="137"/>
      <c r="K75" s="137"/>
      <c r="L75" s="137"/>
      <c r="M75" s="137"/>
    </row>
    <row r="76" ht="14.25" customHeight="1" spans="1:13">
      <c r="A76" s="137"/>
      <c r="B76" s="137"/>
      <c r="C76" s="137"/>
      <c r="D76" s="137"/>
      <c r="E76" s="147"/>
      <c r="F76" s="137"/>
      <c r="G76" s="137"/>
      <c r="H76" s="159"/>
      <c r="I76" s="137"/>
      <c r="J76" s="137"/>
      <c r="K76" s="137"/>
      <c r="L76" s="137"/>
      <c r="M76" s="137"/>
    </row>
    <row r="77" ht="16.5" customHeight="1" spans="1:13">
      <c r="A77" s="161" t="s">
        <v>230</v>
      </c>
      <c r="B77" s="162" t="s">
        <v>195</v>
      </c>
      <c r="C77" s="163"/>
      <c r="D77" s="137"/>
      <c r="E77" s="147"/>
      <c r="F77" s="161" t="s">
        <v>231</v>
      </c>
      <c r="G77" s="162" t="s">
        <v>232</v>
      </c>
      <c r="H77" s="164"/>
      <c r="I77" s="137"/>
      <c r="J77" s="137"/>
      <c r="K77" s="137"/>
      <c r="L77" s="137"/>
      <c r="M77" s="137"/>
    </row>
    <row r="78" ht="14.25" spans="1:13">
      <c r="A78" s="137"/>
      <c r="B78" s="137"/>
      <c r="C78" s="137"/>
      <c r="D78" s="137"/>
      <c r="E78" s="165"/>
      <c r="F78" s="137"/>
      <c r="G78" s="137"/>
      <c r="H78" s="137"/>
      <c r="I78" s="137"/>
      <c r="J78" s="137"/>
      <c r="K78" s="137"/>
      <c r="L78" s="137"/>
      <c r="M78" s="137"/>
    </row>
    <row r="79" ht="14.25" spans="1:13">
      <c r="A79" s="137"/>
      <c r="B79" s="137"/>
      <c r="C79" s="137"/>
      <c r="D79" s="137"/>
      <c r="E79" s="165"/>
      <c r="F79" s="137"/>
      <c r="G79" s="137"/>
      <c r="H79" s="137"/>
      <c r="I79" s="137"/>
      <c r="J79" s="137"/>
      <c r="K79" s="137"/>
      <c r="L79" s="137"/>
      <c r="M79" s="137"/>
    </row>
    <row r="80" ht="18.75" customHeight="1" spans="1:13">
      <c r="A80" s="137"/>
      <c r="B80" s="137"/>
      <c r="C80" s="137"/>
      <c r="D80" s="137"/>
      <c r="E80" s="165"/>
      <c r="F80" s="137"/>
      <c r="G80" s="137"/>
      <c r="H80" s="166"/>
      <c r="I80" s="137"/>
      <c r="J80" s="137"/>
      <c r="K80" s="137"/>
      <c r="L80" s="137"/>
      <c r="M80" s="137"/>
    </row>
    <row r="81" ht="18.75" customHeight="1" spans="1:13">
      <c r="A81" s="137"/>
      <c r="B81" s="137"/>
      <c r="C81" s="137"/>
      <c r="D81" s="137"/>
      <c r="E81" s="165"/>
      <c r="F81" s="137"/>
      <c r="G81" s="137"/>
      <c r="H81" s="167"/>
      <c r="I81" s="137"/>
      <c r="J81" s="137"/>
      <c r="K81" s="137"/>
      <c r="L81" s="137"/>
      <c r="M81" s="137"/>
    </row>
    <row r="82" ht="18.75" customHeight="1" spans="1:13">
      <c r="A82" s="137"/>
      <c r="B82" s="137"/>
      <c r="C82" s="137"/>
      <c r="D82" s="137"/>
      <c r="E82" s="165"/>
      <c r="F82" s="137"/>
      <c r="G82" s="137"/>
      <c r="H82" s="168"/>
      <c r="I82" s="137"/>
      <c r="J82" s="137"/>
      <c r="K82" s="137"/>
      <c r="L82" s="137"/>
      <c r="M82" s="137"/>
    </row>
  </sheetData>
  <mergeCells count="18">
    <mergeCell ref="A1:H1"/>
    <mergeCell ref="A2:H2"/>
    <mergeCell ref="C3:F3"/>
    <mergeCell ref="C4:F4"/>
    <mergeCell ref="C5:F5"/>
    <mergeCell ref="G10:H10"/>
    <mergeCell ref="C11:F11"/>
    <mergeCell ref="A15:F15"/>
    <mergeCell ref="A16:H16"/>
    <mergeCell ref="A18:B18"/>
    <mergeCell ref="C18:D18"/>
    <mergeCell ref="E18:F18"/>
    <mergeCell ref="A19:B19"/>
    <mergeCell ref="C19:D19"/>
    <mergeCell ref="E19:F19"/>
    <mergeCell ref="F20:G20"/>
    <mergeCell ref="C12:F13"/>
    <mergeCell ref="C8:F9"/>
  </mergeCells>
  <printOptions horizontalCentered="1"/>
  <pageMargins left="0.196850393700787" right="0.236220472440945" top="0.196850393700787" bottom="0.196850393700787" header="0.236220472440945" footer="0.236220472440945"/>
  <pageSetup paperSize="9" scale="86" orientation="landscape"/>
  <headerFooter/>
  <rowBreaks count="1" manualBreakCount="1">
    <brk id="42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108"/>
  <sheetViews>
    <sheetView view="pageBreakPreview" zoomScaleNormal="160" workbookViewId="0">
      <selection activeCell="D27" sqref="D26:D27"/>
    </sheetView>
  </sheetViews>
  <sheetFormatPr defaultColWidth="9" defaultRowHeight="14.25"/>
  <cols>
    <col min="2" max="3" width="6.83333333333333" customWidth="1"/>
    <col min="4" max="4" width="19.625" customWidth="1"/>
    <col min="5" max="6" width="8.25" customWidth="1"/>
    <col min="7" max="7" width="12.5" customWidth="1"/>
    <col min="8" max="8" width="9.33333333333333" customWidth="1"/>
    <col min="9" max="9" width="5.83333333333333" customWidth="1"/>
    <col min="10" max="10" width="10.3333333333333" customWidth="1"/>
    <col min="11" max="11" width="5.58333333333333" customWidth="1"/>
    <col min="12" max="12" width="9.08333333333333" customWidth="1"/>
    <col min="13" max="13" width="12.3333333333333" customWidth="1"/>
    <col min="14" max="15" width="6.25" customWidth="1"/>
    <col min="16" max="16" width="8.33333333333333" customWidth="1"/>
    <col min="18" max="18" width="10.25" customWidth="1"/>
  </cols>
  <sheetData>
    <row r="1" spans="1:16">
      <c r="A1" s="1" t="s">
        <v>233</v>
      </c>
    </row>
    <row r="4" ht="11.25" customHeight="1" spans="1:16">
      <c r="A4" s="2" t="s">
        <v>234</v>
      </c>
      <c r="B4" s="3"/>
      <c r="C4" s="3"/>
      <c r="D4" s="3"/>
      <c r="E4" s="2" t="s">
        <v>235</v>
      </c>
      <c r="F4" s="3"/>
      <c r="G4" s="3"/>
      <c r="H4" s="2" t="s">
        <v>236</v>
      </c>
      <c r="I4" s="3"/>
      <c r="J4" s="4"/>
      <c r="K4" s="4"/>
      <c r="L4" s="4"/>
      <c r="M4" s="4"/>
      <c r="N4" s="4"/>
      <c r="O4" s="4" t="s">
        <v>237</v>
      </c>
      <c r="P4" s="3"/>
    </row>
    <row r="5" ht="11.25" customHeight="1" spans="1:16">
      <c r="A5" s="5" t="s">
        <v>238</v>
      </c>
      <c r="B5" s="6"/>
      <c r="C5" s="6"/>
      <c r="D5" s="7"/>
      <c r="E5" s="8" t="s">
        <v>239</v>
      </c>
      <c r="F5" s="6"/>
      <c r="G5" s="7"/>
      <c r="H5" s="8" t="s">
        <v>240</v>
      </c>
      <c r="I5" s="6"/>
      <c r="J5" s="7"/>
      <c r="K5" s="8" t="s">
        <v>241</v>
      </c>
      <c r="L5" s="6"/>
      <c r="M5" s="7"/>
      <c r="N5" s="9" t="s">
        <v>242</v>
      </c>
      <c r="O5" s="6"/>
      <c r="P5" s="10"/>
    </row>
    <row r="6" spans="1:16">
      <c r="A6" s="11" t="s">
        <v>185</v>
      </c>
      <c r="B6" s="12"/>
      <c r="C6" s="12"/>
      <c r="D6" s="13"/>
      <c r="E6" s="14" t="s">
        <v>171</v>
      </c>
      <c r="F6" s="12"/>
      <c r="G6" s="13"/>
      <c r="H6" s="14"/>
      <c r="I6" s="12"/>
      <c r="J6" s="13"/>
      <c r="K6" s="14"/>
      <c r="L6" s="12"/>
      <c r="M6" s="13"/>
      <c r="N6" s="15"/>
      <c r="O6" s="12"/>
      <c r="P6" s="16"/>
    </row>
    <row r="7" ht="11.25" customHeight="1" spans="1:16">
      <c r="A7" s="17" t="s">
        <v>243</v>
      </c>
      <c r="B7" s="18"/>
      <c r="C7" s="18"/>
      <c r="D7" s="19"/>
      <c r="E7" s="20" t="s">
        <v>244</v>
      </c>
      <c r="F7" s="18"/>
      <c r="G7" s="19"/>
      <c r="H7" s="20" t="s">
        <v>245</v>
      </c>
      <c r="I7" s="18"/>
      <c r="J7" s="19"/>
      <c r="K7" s="21" t="s">
        <v>246</v>
      </c>
      <c r="L7" s="18"/>
      <c r="M7" s="18"/>
      <c r="N7" s="18"/>
      <c r="O7" s="18"/>
      <c r="P7" s="22"/>
    </row>
    <row r="8" ht="24" customHeight="1" spans="1:16">
      <c r="A8" s="11" t="s">
        <v>171</v>
      </c>
      <c r="B8" s="12"/>
      <c r="C8" s="12"/>
      <c r="D8" s="13"/>
      <c r="E8" s="23" t="s">
        <v>247</v>
      </c>
      <c r="F8" s="12"/>
      <c r="G8" s="13"/>
      <c r="H8" s="14"/>
      <c r="I8" s="12"/>
      <c r="J8" s="13"/>
      <c r="K8" s="15"/>
      <c r="L8" s="12"/>
      <c r="M8" s="12"/>
      <c r="N8" s="12"/>
      <c r="O8" s="12"/>
      <c r="P8" s="16"/>
    </row>
    <row r="9" ht="11.25" customHeight="1" spans="1:16">
      <c r="A9" s="17" t="s">
        <v>248</v>
      </c>
      <c r="B9" s="18"/>
      <c r="C9" s="18"/>
      <c r="D9" s="19"/>
      <c r="E9" s="20" t="s">
        <v>249</v>
      </c>
      <c r="F9" s="18"/>
      <c r="G9" s="19"/>
      <c r="H9" s="20" t="s">
        <v>250</v>
      </c>
      <c r="I9" s="18"/>
      <c r="J9" s="19"/>
      <c r="K9" s="21" t="s">
        <v>251</v>
      </c>
      <c r="L9" s="18"/>
      <c r="M9" s="18"/>
      <c r="N9" s="18"/>
      <c r="O9" s="18"/>
      <c r="P9" s="22"/>
    </row>
    <row r="10" spans="1:16">
      <c r="A10" s="24" t="str">
        <f xml:space="preserve">A6</f>
        <v>集合供应商</v>
      </c>
      <c r="B10" s="12"/>
      <c r="C10" s="12"/>
      <c r="D10" s="13"/>
      <c r="E10" s="23" t="s">
        <v>252</v>
      </c>
      <c r="F10" s="12"/>
      <c r="G10" s="13"/>
      <c r="H10" s="23" t="s">
        <v>253</v>
      </c>
      <c r="I10" s="12"/>
      <c r="J10" s="13"/>
      <c r="K10" s="15"/>
      <c r="L10" s="12"/>
      <c r="M10" s="12"/>
      <c r="N10" s="12"/>
      <c r="O10" s="12"/>
      <c r="P10" s="16"/>
    </row>
    <row r="11" ht="15" customHeight="1" spans="1:16">
      <c r="A11" s="17" t="s">
        <v>254</v>
      </c>
      <c r="B11" s="18"/>
      <c r="C11" s="18"/>
      <c r="D11" s="19"/>
      <c r="E11" s="20" t="s">
        <v>255</v>
      </c>
      <c r="F11" s="18"/>
      <c r="G11" s="19"/>
      <c r="H11" s="20" t="s">
        <v>256</v>
      </c>
      <c r="I11" s="18"/>
      <c r="J11" s="19"/>
      <c r="K11" s="20" t="s">
        <v>257</v>
      </c>
      <c r="L11" s="18"/>
      <c r="M11" s="19"/>
      <c r="N11" s="21" t="s">
        <v>258</v>
      </c>
      <c r="O11" s="18"/>
      <c r="P11" s="22"/>
    </row>
    <row r="12" spans="1:16">
      <c r="A12" s="25" t="s">
        <v>171</v>
      </c>
      <c r="B12" s="12"/>
      <c r="C12" s="12"/>
      <c r="D12" s="13"/>
      <c r="E12" s="23" t="str">
        <f xml:space="preserve">销货确认书!F66</f>
        <v>AUSTRALIA</v>
      </c>
      <c r="F12" s="12"/>
      <c r="G12" s="13"/>
      <c r="H12" s="23" t="s">
        <v>259</v>
      </c>
      <c r="I12" s="12"/>
      <c r="J12" s="13"/>
      <c r="K12" s="23" t="s">
        <v>260</v>
      </c>
      <c r="L12" s="12"/>
      <c r="M12" s="13"/>
      <c r="N12" s="15" t="s">
        <v>261</v>
      </c>
      <c r="O12" s="12"/>
      <c r="P12" s="16"/>
    </row>
    <row r="13" ht="22.5" customHeight="1" spans="1:16">
      <c r="A13" s="17" t="s">
        <v>262</v>
      </c>
      <c r="B13" s="18"/>
      <c r="C13" s="18"/>
      <c r="D13" s="19"/>
      <c r="E13" s="20" t="s">
        <v>263</v>
      </c>
      <c r="F13" s="20" t="s">
        <v>264</v>
      </c>
      <c r="G13" s="19"/>
      <c r="H13" s="20" t="s">
        <v>265</v>
      </c>
      <c r="I13" s="19"/>
      <c r="J13" s="26" t="s">
        <v>266</v>
      </c>
      <c r="K13" s="20" t="s">
        <v>267</v>
      </c>
      <c r="L13" s="19"/>
      <c r="M13" s="20" t="s">
        <v>268</v>
      </c>
      <c r="N13" s="19"/>
      <c r="O13" s="21" t="s">
        <v>269</v>
      </c>
      <c r="P13" s="22"/>
    </row>
    <row r="14" spans="1:16">
      <c r="A14" s="11" t="s">
        <v>270</v>
      </c>
      <c r="B14" s="12"/>
      <c r="C14" s="12"/>
      <c r="D14" s="13"/>
      <c r="E14" s="23">
        <v>115</v>
      </c>
      <c r="F14" s="27">
        <v>11717.13</v>
      </c>
      <c r="G14" s="13"/>
      <c r="H14" s="27">
        <v>0</v>
      </c>
      <c r="I14" s="13"/>
      <c r="J14" s="23" t="s">
        <v>209</v>
      </c>
      <c r="K14" s="28"/>
      <c r="L14" s="13"/>
      <c r="M14" s="29"/>
      <c r="N14" s="13"/>
      <c r="O14" s="30"/>
      <c r="P14" s="16"/>
    </row>
    <row r="15" ht="11.25" customHeight="1" spans="1:16">
      <c r="A15" s="31" t="s">
        <v>271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22"/>
    </row>
    <row r="16" spans="1:16">
      <c r="A16" s="32" t="s">
        <v>272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6"/>
    </row>
    <row r="17" ht="15.75" customHeight="1" spans="1:16">
      <c r="A17" s="31" t="s">
        <v>273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22"/>
    </row>
    <row r="18" ht="36" customHeight="1" spans="1:16">
      <c r="A18" s="33" t="s">
        <v>222</v>
      </c>
      <c r="P18" s="34"/>
    </row>
    <row r="19" ht="17.25" customHeight="1" spans="1:16">
      <c r="A19" s="35" t="s">
        <v>274</v>
      </c>
      <c r="B19" s="36" t="s">
        <v>275</v>
      </c>
      <c r="C19" s="37"/>
      <c r="D19" s="38" t="s">
        <v>276</v>
      </c>
      <c r="E19" s="12"/>
      <c r="F19" s="12"/>
      <c r="G19" s="12"/>
      <c r="H19" s="38" t="s">
        <v>277</v>
      </c>
      <c r="I19" s="12"/>
      <c r="J19" s="38" t="s">
        <v>278</v>
      </c>
      <c r="K19" s="12"/>
      <c r="L19" s="38" t="s">
        <v>279</v>
      </c>
      <c r="M19" s="38" t="s">
        <v>280</v>
      </c>
      <c r="N19" s="38" t="s">
        <v>281</v>
      </c>
      <c r="O19" s="12"/>
      <c r="P19" s="39" t="s">
        <v>282</v>
      </c>
    </row>
    <row r="20" ht="15" customHeight="1" spans="1:16">
      <c r="A20" s="40">
        <v>1</v>
      </c>
      <c r="B20" s="41" t="s">
        <v>21</v>
      </c>
      <c r="C20" s="42"/>
      <c r="D20" s="43" t="str">
        <f xml:space="preserve">销货确认书!C21</f>
        <v>眼睛展柜</v>
      </c>
      <c r="E20" s="44" t="s">
        <v>171</v>
      </c>
      <c r="F20" s="42"/>
      <c r="G20" s="44" t="s">
        <v>171</v>
      </c>
      <c r="H20" s="45" t="s">
        <v>211</v>
      </c>
      <c r="I20" s="45">
        <f xml:space="preserve">销货确认书!F21</f>
        <v>26</v>
      </c>
      <c r="J20" s="46">
        <v>1465.159</v>
      </c>
      <c r="K20" s="47" t="s">
        <v>283</v>
      </c>
      <c r="L20" s="41" t="s">
        <v>284</v>
      </c>
      <c r="M20" s="41" t="s">
        <v>157</v>
      </c>
      <c r="N20" s="41" t="s">
        <v>171</v>
      </c>
      <c r="O20" s="42"/>
      <c r="P20" s="48" t="s">
        <v>171</v>
      </c>
    </row>
    <row r="21" ht="15" customHeight="1" spans="1:16">
      <c r="A21" s="49"/>
      <c r="B21" s="50"/>
      <c r="C21" s="50"/>
      <c r="D21" s="12"/>
      <c r="E21" s="12"/>
      <c r="F21" s="12"/>
      <c r="G21" s="12"/>
      <c r="H21" s="51"/>
      <c r="I21" s="51"/>
      <c r="J21" s="52"/>
      <c r="K21" s="50"/>
      <c r="L21" s="50"/>
      <c r="M21" s="50"/>
      <c r="N21" s="50"/>
      <c r="O21" s="50"/>
      <c r="P21" s="16"/>
    </row>
    <row r="22" ht="15" customHeight="1" spans="1:16">
      <c r="A22" s="40">
        <v>2</v>
      </c>
      <c r="B22" s="41" t="s">
        <v>26</v>
      </c>
      <c r="C22" s="42"/>
      <c r="D22" s="43" t="str">
        <f xml:space="preserve">销货确认书!C22</f>
        <v>眼镜盒</v>
      </c>
      <c r="E22" s="44" t="s">
        <v>171</v>
      </c>
      <c r="F22" s="42"/>
      <c r="G22" s="44" t="s">
        <v>171</v>
      </c>
      <c r="H22" s="45" t="s">
        <v>211</v>
      </c>
      <c r="I22" s="45">
        <f xml:space="preserve">销货确认书!F22</f>
        <v>6400</v>
      </c>
      <c r="J22" s="46">
        <v>0.42</v>
      </c>
      <c r="K22" s="47" t="s">
        <v>285</v>
      </c>
      <c r="L22" s="41" t="s">
        <v>284</v>
      </c>
      <c r="M22" s="41" t="s">
        <v>157</v>
      </c>
      <c r="N22" s="41" t="s">
        <v>171</v>
      </c>
      <c r="O22" s="42"/>
      <c r="P22" s="48" t="s">
        <v>171</v>
      </c>
    </row>
    <row r="23" ht="15" customHeight="1" spans="1:16">
      <c r="A23" s="49"/>
      <c r="B23" s="50"/>
      <c r="C23" s="50"/>
      <c r="D23" s="12"/>
      <c r="E23" s="12"/>
      <c r="F23" s="12"/>
      <c r="G23" s="12"/>
      <c r="H23" s="51"/>
      <c r="I23" s="51"/>
      <c r="J23" s="52"/>
      <c r="K23" s="50"/>
      <c r="L23" s="50"/>
      <c r="M23" s="50"/>
      <c r="N23" s="50"/>
      <c r="O23" s="50"/>
      <c r="P23" s="16"/>
    </row>
    <row r="24" ht="15" customHeight="1" spans="1:16">
      <c r="A24" s="40">
        <v>3</v>
      </c>
      <c r="B24" s="41" t="s">
        <v>30</v>
      </c>
      <c r="C24" s="42"/>
      <c r="D24" s="43" t="str">
        <f xml:space="preserve">销货确认书!C23</f>
        <v>眼镜布</v>
      </c>
      <c r="E24" s="44" t="s">
        <v>171</v>
      </c>
      <c r="F24" s="42"/>
      <c r="G24" s="44" t="s">
        <v>171</v>
      </c>
      <c r="H24" s="45" t="s">
        <v>211</v>
      </c>
      <c r="I24" s="45">
        <f xml:space="preserve">销货确认书!F23</f>
        <v>20000</v>
      </c>
      <c r="J24" s="46">
        <v>0.06</v>
      </c>
      <c r="K24" s="47" t="s">
        <v>286</v>
      </c>
      <c r="L24" s="41" t="s">
        <v>284</v>
      </c>
      <c r="M24" s="41" t="s">
        <v>157</v>
      </c>
      <c r="N24" s="41" t="s">
        <v>171</v>
      </c>
      <c r="O24" s="42"/>
      <c r="P24" s="48" t="s">
        <v>171</v>
      </c>
    </row>
    <row r="25" ht="15" customHeight="1" spans="1:16">
      <c r="A25" s="49"/>
      <c r="B25" s="50"/>
      <c r="C25" s="50"/>
      <c r="D25" s="12"/>
      <c r="E25" s="12"/>
      <c r="F25" s="12"/>
      <c r="G25" s="12"/>
      <c r="H25" s="51"/>
      <c r="I25" s="51"/>
      <c r="J25" s="52"/>
      <c r="K25" s="50"/>
      <c r="L25" s="50"/>
      <c r="M25" s="50"/>
      <c r="N25" s="50"/>
      <c r="O25" s="50"/>
      <c r="P25" s="16"/>
    </row>
    <row r="26" ht="15" customHeight="1" spans="1:16">
      <c r="A26" s="40">
        <v>4</v>
      </c>
      <c r="B26" s="41" t="s">
        <v>21</v>
      </c>
      <c r="C26" s="42"/>
      <c r="D26" s="43" t="str">
        <f xml:space="preserve">销货确认书!C24</f>
        <v>咨询室1-吊柜</v>
      </c>
      <c r="E26" s="44" t="s">
        <v>171</v>
      </c>
      <c r="F26" s="42"/>
      <c r="G26" s="44" t="s">
        <v>171</v>
      </c>
      <c r="H26" s="45" t="s">
        <v>211</v>
      </c>
      <c r="I26" s="45">
        <f xml:space="preserve">销货确认书!F24</f>
        <v>1</v>
      </c>
      <c r="J26" s="46">
        <v>1127</v>
      </c>
      <c r="K26" s="47" t="s">
        <v>287</v>
      </c>
      <c r="L26" s="41" t="s">
        <v>284</v>
      </c>
      <c r="M26" s="41" t="s">
        <v>157</v>
      </c>
      <c r="N26" s="41" t="s">
        <v>171</v>
      </c>
      <c r="O26" s="42"/>
      <c r="P26" s="48" t="s">
        <v>171</v>
      </c>
    </row>
    <row r="27" ht="15" customHeight="1" spans="1:16">
      <c r="A27" s="49"/>
      <c r="B27" s="50"/>
      <c r="C27" s="50"/>
      <c r="D27" s="12"/>
      <c r="E27" s="12"/>
      <c r="F27" s="12"/>
      <c r="G27" s="12"/>
      <c r="H27" s="51"/>
      <c r="I27" s="51"/>
      <c r="J27" s="52"/>
      <c r="K27" s="50"/>
      <c r="L27" s="50"/>
      <c r="M27" s="50"/>
      <c r="N27" s="50"/>
      <c r="O27" s="50"/>
      <c r="P27" s="16"/>
    </row>
    <row r="28" ht="15" customHeight="1" spans="1:16">
      <c r="A28" s="40">
        <v>5</v>
      </c>
      <c r="B28" s="41" t="s">
        <v>21</v>
      </c>
      <c r="C28" s="42"/>
      <c r="D28" s="43" t="str">
        <f xml:space="preserve">销货确认书!C25</f>
        <v>咨询室1-桌台+配件箱</v>
      </c>
      <c r="E28" s="44" t="s">
        <v>171</v>
      </c>
      <c r="F28" s="42"/>
      <c r="G28" s="44" t="s">
        <v>171</v>
      </c>
      <c r="H28" s="45" t="s">
        <v>211</v>
      </c>
      <c r="I28" s="45">
        <f xml:space="preserve">销货确认书!F25</f>
        <v>1</v>
      </c>
      <c r="J28" s="46">
        <v>911</v>
      </c>
      <c r="K28" s="47" t="s">
        <v>288</v>
      </c>
      <c r="L28" s="41" t="s">
        <v>284</v>
      </c>
      <c r="M28" s="41" t="s">
        <v>157</v>
      </c>
      <c r="N28" s="41" t="s">
        <v>171</v>
      </c>
      <c r="O28" s="42"/>
      <c r="P28" s="48" t="s">
        <v>171</v>
      </c>
    </row>
    <row r="29" ht="15" customHeight="1" spans="1:16">
      <c r="A29" s="49"/>
      <c r="B29" s="50"/>
      <c r="C29" s="50"/>
      <c r="D29" s="12"/>
      <c r="E29" s="12"/>
      <c r="F29" s="12"/>
      <c r="G29" s="12"/>
      <c r="H29" s="51"/>
      <c r="I29" s="51"/>
      <c r="J29" s="52"/>
      <c r="K29" s="50"/>
      <c r="L29" s="50"/>
      <c r="M29" s="50"/>
      <c r="N29" s="50"/>
      <c r="O29" s="50"/>
      <c r="P29" s="16"/>
    </row>
    <row r="30" ht="15" customHeight="1" spans="1:16">
      <c r="A30" s="40">
        <v>6</v>
      </c>
      <c r="B30" s="41" t="s">
        <v>21</v>
      </c>
      <c r="C30" s="42"/>
      <c r="D30" s="43" t="str">
        <f xml:space="preserve">销货确认书!C26</f>
        <v>咨询室2-吊柜</v>
      </c>
      <c r="E30" s="44" t="s">
        <v>171</v>
      </c>
      <c r="F30" s="42"/>
      <c r="G30" s="44" t="s">
        <v>171</v>
      </c>
      <c r="H30" s="45" t="s">
        <v>211</v>
      </c>
      <c r="I30" s="45">
        <f xml:space="preserve">销货确认书!F26</f>
        <v>1</v>
      </c>
      <c r="J30" s="46">
        <v>1127</v>
      </c>
      <c r="K30" s="47" t="s">
        <v>287</v>
      </c>
      <c r="L30" s="41" t="s">
        <v>284</v>
      </c>
      <c r="M30" s="41" t="s">
        <v>157</v>
      </c>
      <c r="N30" s="41" t="s">
        <v>171</v>
      </c>
      <c r="O30" s="42"/>
      <c r="P30" s="48" t="s">
        <v>171</v>
      </c>
    </row>
    <row r="31" ht="15" customHeight="1" spans="1:16">
      <c r="A31" s="49"/>
      <c r="B31" s="50"/>
      <c r="C31" s="50"/>
      <c r="D31" s="12"/>
      <c r="E31" s="12"/>
      <c r="F31" s="12"/>
      <c r="G31" s="12"/>
      <c r="H31" s="51"/>
      <c r="I31" s="51"/>
      <c r="J31" s="52"/>
      <c r="K31" s="50"/>
      <c r="L31" s="50"/>
      <c r="M31" s="50"/>
      <c r="N31" s="50"/>
      <c r="O31" s="50"/>
      <c r="P31" s="16"/>
    </row>
    <row r="32" ht="15" customHeight="1" spans="1:16">
      <c r="A32" s="40">
        <v>7</v>
      </c>
      <c r="B32" s="41" t="s">
        <v>21</v>
      </c>
      <c r="C32" s="42"/>
      <c r="D32" s="43" t="str">
        <f xml:space="preserve">销货确认书!C27</f>
        <v>厨房柜-a吊柜</v>
      </c>
      <c r="E32" s="44" t="s">
        <v>171</v>
      </c>
      <c r="F32" s="42"/>
      <c r="G32" s="44" t="s">
        <v>171</v>
      </c>
      <c r="H32" s="45" t="s">
        <v>211</v>
      </c>
      <c r="I32" s="45">
        <f xml:space="preserve">销货确认书!F27</f>
        <v>1</v>
      </c>
      <c r="J32" s="46">
        <v>965</v>
      </c>
      <c r="K32" s="47" t="s">
        <v>289</v>
      </c>
      <c r="L32" s="41" t="s">
        <v>284</v>
      </c>
      <c r="M32" s="41" t="s">
        <v>157</v>
      </c>
      <c r="N32" s="41" t="s">
        <v>171</v>
      </c>
      <c r="O32" s="42"/>
      <c r="P32" s="48" t="s">
        <v>171</v>
      </c>
    </row>
    <row r="33" ht="15" customHeight="1" spans="1:16">
      <c r="A33" s="49"/>
      <c r="B33" s="50"/>
      <c r="C33" s="50"/>
      <c r="D33" s="12"/>
      <c r="E33" s="12"/>
      <c r="F33" s="12"/>
      <c r="G33" s="12"/>
      <c r="H33" s="51"/>
      <c r="I33" s="51"/>
      <c r="J33" s="52"/>
      <c r="K33" s="50"/>
      <c r="L33" s="50"/>
      <c r="M33" s="50"/>
      <c r="N33" s="50"/>
      <c r="O33" s="50"/>
      <c r="P33" s="16"/>
    </row>
    <row r="34" ht="15" customHeight="1" spans="1:16">
      <c r="A34" s="40">
        <v>8</v>
      </c>
      <c r="B34" s="41" t="s">
        <v>21</v>
      </c>
      <c r="C34" s="42"/>
      <c r="D34" s="43" t="str">
        <f xml:space="preserve">销货确认书!C28</f>
        <v>厨房柜-b吊柜+c吊柜</v>
      </c>
      <c r="E34" s="44" t="s">
        <v>171</v>
      </c>
      <c r="F34" s="42"/>
      <c r="G34" s="44" t="s">
        <v>171</v>
      </c>
      <c r="H34" s="45" t="s">
        <v>211</v>
      </c>
      <c r="I34" s="45">
        <f xml:space="preserve">销货确认书!F28</f>
        <v>1</v>
      </c>
      <c r="J34" s="46">
        <v>965</v>
      </c>
      <c r="K34" s="47" t="s">
        <v>289</v>
      </c>
      <c r="L34" s="41" t="s">
        <v>284</v>
      </c>
      <c r="M34" s="41" t="s">
        <v>157</v>
      </c>
      <c r="N34" s="41" t="s">
        <v>171</v>
      </c>
      <c r="O34" s="42"/>
      <c r="P34" s="48" t="s">
        <v>171</v>
      </c>
    </row>
    <row r="35" ht="15" customHeight="1" spans="1:16">
      <c r="A35" s="49"/>
      <c r="B35" s="50"/>
      <c r="C35" s="50"/>
      <c r="D35" s="12"/>
      <c r="E35" s="12"/>
      <c r="F35" s="12"/>
      <c r="G35" s="12"/>
      <c r="H35" s="51"/>
      <c r="I35" s="51"/>
      <c r="J35" s="52"/>
      <c r="K35" s="50"/>
      <c r="L35" s="50"/>
      <c r="M35" s="50"/>
      <c r="N35" s="50"/>
      <c r="O35" s="50"/>
      <c r="P35" s="16"/>
    </row>
    <row r="36" ht="15" customHeight="1" spans="1:16">
      <c r="A36" s="40">
        <v>9</v>
      </c>
      <c r="B36" s="41" t="s">
        <v>21</v>
      </c>
      <c r="C36" s="42"/>
      <c r="D36" s="43" t="str">
        <f xml:space="preserve">销货确认书!C29</f>
        <v>厨房柜-C立柜+厨房柜-地柜C</v>
      </c>
      <c r="E36" s="44" t="s">
        <v>171</v>
      </c>
      <c r="F36" s="42"/>
      <c r="G36" s="44" t="s">
        <v>171</v>
      </c>
      <c r="H36" s="45" t="s">
        <v>211</v>
      </c>
      <c r="I36" s="45">
        <f xml:space="preserve">销货确认书!F29</f>
        <v>1</v>
      </c>
      <c r="J36" s="46">
        <v>965</v>
      </c>
      <c r="K36" s="47" t="s">
        <v>289</v>
      </c>
      <c r="L36" s="41" t="s">
        <v>284</v>
      </c>
      <c r="M36" s="41" t="s">
        <v>157</v>
      </c>
      <c r="N36" s="41" t="s">
        <v>171</v>
      </c>
      <c r="O36" s="42"/>
      <c r="P36" s="48" t="s">
        <v>171</v>
      </c>
    </row>
    <row r="37" ht="15" customHeight="1" spans="1:16">
      <c r="A37" s="49"/>
      <c r="B37" s="50"/>
      <c r="C37" s="50"/>
      <c r="D37" s="12"/>
      <c r="E37" s="12"/>
      <c r="F37" s="12"/>
      <c r="G37" s="12"/>
      <c r="H37" s="51"/>
      <c r="I37" s="51"/>
      <c r="J37" s="52"/>
      <c r="K37" s="50"/>
      <c r="L37" s="50"/>
      <c r="M37" s="50"/>
      <c r="N37" s="50"/>
      <c r="O37" s="50"/>
      <c r="P37" s="16"/>
    </row>
    <row r="38" ht="15" customHeight="1" spans="1:16">
      <c r="A38" s="40">
        <v>10</v>
      </c>
      <c r="B38" s="41" t="s">
        <v>21</v>
      </c>
      <c r="C38" s="42"/>
      <c r="D38" s="43" t="str">
        <f xml:space="preserve">销货确认书!C30</f>
        <v>厨房柜-d立柜-e立柜</v>
      </c>
      <c r="E38" s="44" t="s">
        <v>171</v>
      </c>
      <c r="F38" s="42"/>
      <c r="G38" s="44" t="s">
        <v>171</v>
      </c>
      <c r="H38" s="45" t="s">
        <v>211</v>
      </c>
      <c r="I38" s="45">
        <f xml:space="preserve">销货确认书!F30</f>
        <v>1</v>
      </c>
      <c r="J38" s="46">
        <v>965</v>
      </c>
      <c r="K38" s="47" t="s">
        <v>289</v>
      </c>
      <c r="L38" s="41" t="s">
        <v>284</v>
      </c>
      <c r="M38" s="41" t="s">
        <v>157</v>
      </c>
      <c r="N38" s="41" t="s">
        <v>171</v>
      </c>
      <c r="O38" s="42"/>
      <c r="P38" s="48" t="s">
        <v>171</v>
      </c>
    </row>
    <row r="39" ht="15" customHeight="1" spans="1:16">
      <c r="A39" s="49"/>
      <c r="B39" s="50"/>
      <c r="C39" s="50"/>
      <c r="D39" s="12"/>
      <c r="E39" s="12"/>
      <c r="F39" s="12"/>
      <c r="G39" s="12"/>
      <c r="H39" s="51"/>
      <c r="I39" s="51"/>
      <c r="J39" s="52"/>
      <c r="K39" s="50"/>
      <c r="L39" s="50"/>
      <c r="M39" s="50"/>
      <c r="N39" s="50"/>
      <c r="O39" s="50"/>
      <c r="P39" s="16"/>
    </row>
    <row r="40" ht="15" customHeight="1" spans="1:16">
      <c r="A40" s="40">
        <v>11</v>
      </c>
      <c r="B40" s="41" t="s">
        <v>21</v>
      </c>
      <c r="C40" s="42"/>
      <c r="D40" s="43" t="str">
        <f xml:space="preserve">销货确认书!C31</f>
        <v>厨房柜-地柜a</v>
      </c>
      <c r="E40" s="44" t="s">
        <v>171</v>
      </c>
      <c r="F40" s="42"/>
      <c r="G40" s="44" t="s">
        <v>171</v>
      </c>
      <c r="H40" s="45" t="s">
        <v>211</v>
      </c>
      <c r="I40" s="45">
        <f xml:space="preserve">销货确认书!F31</f>
        <v>1</v>
      </c>
      <c r="J40" s="46">
        <v>965</v>
      </c>
      <c r="K40" s="47" t="s">
        <v>289</v>
      </c>
      <c r="L40" s="41" t="s">
        <v>284</v>
      </c>
      <c r="M40" s="41" t="s">
        <v>157</v>
      </c>
      <c r="N40" s="41" t="s">
        <v>171</v>
      </c>
      <c r="O40" s="42"/>
      <c r="P40" s="48" t="s">
        <v>171</v>
      </c>
    </row>
    <row r="41" ht="15" customHeight="1" spans="1:16">
      <c r="A41" s="49"/>
      <c r="B41" s="50"/>
      <c r="C41" s="50"/>
      <c r="D41" s="12"/>
      <c r="E41" s="12"/>
      <c r="F41" s="12"/>
      <c r="G41" s="12"/>
      <c r="H41" s="51"/>
      <c r="I41" s="51"/>
      <c r="J41" s="52"/>
      <c r="K41" s="50"/>
      <c r="L41" s="50"/>
      <c r="M41" s="50"/>
      <c r="N41" s="50"/>
      <c r="O41" s="50"/>
      <c r="P41" s="16"/>
    </row>
    <row r="42" ht="15" customHeight="1" spans="1:16">
      <c r="A42" s="40">
        <v>12</v>
      </c>
      <c r="B42" s="41" t="s">
        <v>21</v>
      </c>
      <c r="C42" s="42"/>
      <c r="D42" s="43" t="str">
        <f xml:space="preserve">销货确认书!C32</f>
        <v>厨房柜-地柜b</v>
      </c>
      <c r="E42" s="44" t="s">
        <v>171</v>
      </c>
      <c r="F42" s="42"/>
      <c r="G42" s="44" t="s">
        <v>171</v>
      </c>
      <c r="H42" s="45" t="s">
        <v>211</v>
      </c>
      <c r="I42" s="45">
        <f xml:space="preserve">销货确认书!F32</f>
        <v>1</v>
      </c>
      <c r="J42" s="46">
        <v>965</v>
      </c>
      <c r="K42" s="47" t="s">
        <v>289</v>
      </c>
      <c r="L42" s="41" t="s">
        <v>284</v>
      </c>
      <c r="M42" s="41" t="s">
        <v>157</v>
      </c>
      <c r="N42" s="41" t="s">
        <v>171</v>
      </c>
      <c r="O42" s="42"/>
      <c r="P42" s="48" t="s">
        <v>171</v>
      </c>
    </row>
    <row r="43" ht="15" customHeight="1" spans="1:16">
      <c r="A43" s="49"/>
      <c r="B43" s="50"/>
      <c r="C43" s="50"/>
      <c r="D43" s="12"/>
      <c r="E43" s="12"/>
      <c r="F43" s="12"/>
      <c r="G43" s="12"/>
      <c r="H43" s="51"/>
      <c r="I43" s="51"/>
      <c r="J43" s="52"/>
      <c r="K43" s="50"/>
      <c r="L43" s="50"/>
      <c r="M43" s="50"/>
      <c r="N43" s="50"/>
      <c r="O43" s="50"/>
      <c r="P43" s="16"/>
    </row>
    <row r="44" ht="15" customHeight="1" spans="1:16">
      <c r="A44" s="40">
        <v>13</v>
      </c>
      <c r="B44" s="41" t="s">
        <v>21</v>
      </c>
      <c r="C44" s="42"/>
      <c r="D44" s="43" t="str">
        <f xml:space="preserve">销货确认书!C33</f>
        <v>咨询室2-桌台</v>
      </c>
      <c r="E44" s="44" t="s">
        <v>171</v>
      </c>
      <c r="F44" s="42"/>
      <c r="G44" s="44" t="s">
        <v>171</v>
      </c>
      <c r="H44" s="45" t="s">
        <v>211</v>
      </c>
      <c r="I44" s="45">
        <f xml:space="preserve">销货确认书!F33</f>
        <v>1</v>
      </c>
      <c r="J44" s="46">
        <v>911</v>
      </c>
      <c r="K44" s="47" t="s">
        <v>288</v>
      </c>
      <c r="L44" s="41" t="s">
        <v>284</v>
      </c>
      <c r="M44" s="41" t="s">
        <v>157</v>
      </c>
      <c r="N44" s="41" t="s">
        <v>171</v>
      </c>
      <c r="O44" s="42"/>
      <c r="P44" s="48" t="s">
        <v>171</v>
      </c>
    </row>
    <row r="45" ht="15" customHeight="1" spans="1:16">
      <c r="A45" s="49"/>
      <c r="B45" s="50"/>
      <c r="C45" s="50"/>
      <c r="D45" s="12"/>
      <c r="E45" s="12"/>
      <c r="F45" s="12"/>
      <c r="G45" s="12"/>
      <c r="H45" s="51"/>
      <c r="I45" s="51"/>
      <c r="J45" s="52"/>
      <c r="K45" s="50"/>
      <c r="L45" s="50"/>
      <c r="M45" s="50"/>
      <c r="N45" s="50"/>
      <c r="O45" s="50"/>
      <c r="P45" s="16"/>
    </row>
    <row r="46" ht="15" customHeight="1" spans="1:16">
      <c r="A46" s="40">
        <v>14</v>
      </c>
      <c r="B46" s="41" t="s">
        <v>21</v>
      </c>
      <c r="C46" s="42"/>
      <c r="D46" s="43" t="str">
        <f xml:space="preserve">销货确认书!C34</f>
        <v>厨房柜-地柜b/洗手盆配件/水龙头/配件箱</v>
      </c>
      <c r="E46" s="44" t="s">
        <v>171</v>
      </c>
      <c r="F46" s="42"/>
      <c r="G46" s="44" t="s">
        <v>171</v>
      </c>
      <c r="H46" s="45" t="s">
        <v>211</v>
      </c>
      <c r="I46" s="45">
        <f xml:space="preserve">销货确认书!F34</f>
        <v>1</v>
      </c>
      <c r="J46" s="46">
        <v>965</v>
      </c>
      <c r="K46" s="47" t="s">
        <v>289</v>
      </c>
      <c r="L46" s="41" t="s">
        <v>284</v>
      </c>
      <c r="M46" s="41" t="s">
        <v>157</v>
      </c>
      <c r="N46" s="41" t="s">
        <v>171</v>
      </c>
      <c r="O46" s="42"/>
      <c r="P46" s="48" t="s">
        <v>171</v>
      </c>
    </row>
    <row r="47" ht="15" customHeight="1" spans="1:16">
      <c r="A47" s="49"/>
      <c r="B47" s="50"/>
      <c r="C47" s="50"/>
      <c r="D47" s="12"/>
      <c r="E47" s="12"/>
      <c r="F47" s="12"/>
      <c r="G47" s="12"/>
      <c r="H47" s="51"/>
      <c r="I47" s="51"/>
      <c r="J47" s="52"/>
      <c r="K47" s="50"/>
      <c r="L47" s="50"/>
      <c r="M47" s="50"/>
      <c r="N47" s="50"/>
      <c r="O47" s="50"/>
      <c r="P47" s="16"/>
    </row>
    <row r="48" ht="15" customHeight="1" spans="1:16">
      <c r="A48" s="40">
        <v>15</v>
      </c>
      <c r="B48" s="41" t="s">
        <v>54</v>
      </c>
      <c r="C48" s="42"/>
      <c r="D48" s="43" t="str">
        <f xml:space="preserve">销货确认书!C35</f>
        <v>招牌</v>
      </c>
      <c r="E48" s="44" t="s">
        <v>171</v>
      </c>
      <c r="F48" s="42"/>
      <c r="G48" s="44" t="s">
        <v>171</v>
      </c>
      <c r="H48" s="45" t="s">
        <v>211</v>
      </c>
      <c r="I48" s="45">
        <f xml:space="preserve">销货确认书!F35</f>
        <v>1</v>
      </c>
      <c r="J48" s="46">
        <v>732</v>
      </c>
      <c r="K48" s="47" t="s">
        <v>290</v>
      </c>
      <c r="L48" s="41" t="s">
        <v>284</v>
      </c>
      <c r="M48" s="41" t="s">
        <v>157</v>
      </c>
      <c r="N48" s="41" t="s">
        <v>171</v>
      </c>
      <c r="O48" s="42"/>
      <c r="P48" s="48" t="s">
        <v>171</v>
      </c>
    </row>
    <row r="49" ht="15" customHeight="1" spans="1:16">
      <c r="A49" s="49"/>
      <c r="B49" s="50"/>
      <c r="C49" s="50"/>
      <c r="D49" s="12"/>
      <c r="E49" s="12"/>
      <c r="F49" s="12"/>
      <c r="G49" s="12"/>
      <c r="H49" s="51"/>
      <c r="I49" s="51"/>
      <c r="J49" s="52"/>
      <c r="K49" s="50"/>
      <c r="L49" s="50"/>
      <c r="M49" s="50"/>
      <c r="N49" s="50"/>
      <c r="O49" s="50"/>
      <c r="P49" s="16"/>
    </row>
    <row r="50" ht="15" customHeight="1" spans="1:16">
      <c r="A50" s="40">
        <v>16</v>
      </c>
      <c r="B50" s="41" t="s">
        <v>58</v>
      </c>
      <c r="C50" s="42"/>
      <c r="D50" s="43" t="str">
        <f xml:space="preserve">销货确认书!C36</f>
        <v>招牌-发光字</v>
      </c>
      <c r="E50" s="44" t="s">
        <v>171</v>
      </c>
      <c r="F50" s="42"/>
      <c r="G50" s="44" t="s">
        <v>171</v>
      </c>
      <c r="H50" s="45" t="s">
        <v>211</v>
      </c>
      <c r="I50" s="45">
        <f xml:space="preserve">销货确认书!F36</f>
        <v>1</v>
      </c>
      <c r="J50" s="46">
        <v>847</v>
      </c>
      <c r="K50" s="47" t="s">
        <v>291</v>
      </c>
      <c r="L50" s="41" t="s">
        <v>284</v>
      </c>
      <c r="M50" s="41" t="s">
        <v>157</v>
      </c>
      <c r="N50" s="41" t="s">
        <v>171</v>
      </c>
      <c r="O50" s="42"/>
      <c r="P50" s="48" t="s">
        <v>171</v>
      </c>
    </row>
    <row r="51" ht="15" customHeight="1" spans="1:16">
      <c r="A51" s="49"/>
      <c r="B51" s="50"/>
      <c r="C51" s="50"/>
      <c r="D51" s="12"/>
      <c r="E51" s="12"/>
      <c r="F51" s="12"/>
      <c r="G51" s="12"/>
      <c r="H51" s="51"/>
      <c r="I51" s="51"/>
      <c r="J51" s="52"/>
      <c r="K51" s="50"/>
      <c r="L51" s="50"/>
      <c r="M51" s="50"/>
      <c r="N51" s="50"/>
      <c r="O51" s="50"/>
      <c r="P51" s="16"/>
    </row>
    <row r="52" ht="15" customHeight="1" spans="1:16">
      <c r="A52" s="40">
        <v>17</v>
      </c>
      <c r="B52" s="41" t="s">
        <v>21</v>
      </c>
      <c r="C52" s="42"/>
      <c r="D52" s="43" t="str">
        <f xml:space="preserve">销货确认书!C37</f>
        <v>橱窗展示</v>
      </c>
      <c r="E52" s="44" t="s">
        <v>171</v>
      </c>
      <c r="F52" s="42"/>
      <c r="G52" s="44" t="s">
        <v>171</v>
      </c>
      <c r="H52" s="45" t="s">
        <v>211</v>
      </c>
      <c r="I52" s="45">
        <f xml:space="preserve">销货确认书!F37</f>
        <v>1</v>
      </c>
      <c r="J52" s="46">
        <v>296</v>
      </c>
      <c r="K52" s="47" t="s">
        <v>292</v>
      </c>
      <c r="L52" s="41" t="s">
        <v>284</v>
      </c>
      <c r="M52" s="41" t="s">
        <v>157</v>
      </c>
      <c r="N52" s="41" t="s">
        <v>171</v>
      </c>
      <c r="O52" s="42"/>
      <c r="P52" s="48" t="s">
        <v>171</v>
      </c>
    </row>
    <row r="53" ht="15" customHeight="1" spans="1:16">
      <c r="A53" s="49"/>
      <c r="B53" s="50"/>
      <c r="C53" s="50"/>
      <c r="D53" s="12"/>
      <c r="E53" s="12"/>
      <c r="F53" s="12"/>
      <c r="G53" s="12"/>
      <c r="H53" s="51"/>
      <c r="I53" s="51"/>
      <c r="J53" s="52"/>
      <c r="K53" s="50"/>
      <c r="L53" s="50"/>
      <c r="M53" s="50"/>
      <c r="N53" s="50"/>
      <c r="O53" s="50"/>
      <c r="P53" s="16"/>
    </row>
    <row r="54" ht="15" customHeight="1" spans="1:16">
      <c r="A54" s="40">
        <v>18</v>
      </c>
      <c r="B54" s="41" t="s">
        <v>65</v>
      </c>
      <c r="C54" s="42"/>
      <c r="D54" s="43" t="str">
        <f xml:space="preserve">销货确认书!C38</f>
        <v>验光仪组合台</v>
      </c>
      <c r="E54" s="44" t="s">
        <v>171</v>
      </c>
      <c r="F54" s="42"/>
      <c r="G54" s="44" t="s">
        <v>171</v>
      </c>
      <c r="H54" s="45" t="s">
        <v>211</v>
      </c>
      <c r="I54" s="45">
        <f xml:space="preserve">销货确认书!F38</f>
        <v>1</v>
      </c>
      <c r="J54" s="46">
        <v>0</v>
      </c>
      <c r="K54" s="47" t="s">
        <v>293</v>
      </c>
      <c r="L54" s="41" t="s">
        <v>284</v>
      </c>
      <c r="M54" s="41" t="s">
        <v>157</v>
      </c>
      <c r="N54" s="41" t="s">
        <v>171</v>
      </c>
      <c r="O54" s="42"/>
      <c r="P54" s="48" t="s">
        <v>171</v>
      </c>
    </row>
    <row r="55" ht="15" customHeight="1" spans="1:16">
      <c r="A55" s="49"/>
      <c r="B55" s="50"/>
      <c r="C55" s="50"/>
      <c r="D55" s="12"/>
      <c r="E55" s="12"/>
      <c r="F55" s="12"/>
      <c r="G55" s="12"/>
      <c r="H55" s="51"/>
      <c r="I55" s="51"/>
      <c r="J55" s="52"/>
      <c r="K55" s="50"/>
      <c r="L55" s="50"/>
      <c r="M55" s="50"/>
      <c r="N55" s="50"/>
      <c r="O55" s="50"/>
      <c r="P55" s="16"/>
    </row>
    <row r="56" ht="15" customHeight="1" spans="1:16">
      <c r="A56" s="40">
        <v>19</v>
      </c>
      <c r="B56" s="41" t="s">
        <v>65</v>
      </c>
      <c r="C56" s="42"/>
      <c r="D56" s="43" t="str">
        <f xml:space="preserve">销货确认书!C39</f>
        <v>裂隙灯显微镜</v>
      </c>
      <c r="E56" s="44" t="s">
        <v>171</v>
      </c>
      <c r="F56" s="42"/>
      <c r="G56" s="44" t="s">
        <v>171</v>
      </c>
      <c r="H56" s="45" t="s">
        <v>211</v>
      </c>
      <c r="I56" s="45">
        <f xml:space="preserve">销货确认书!F39</f>
        <v>1</v>
      </c>
      <c r="J56" s="46">
        <v>0</v>
      </c>
      <c r="K56" s="47" t="s">
        <v>293</v>
      </c>
      <c r="L56" s="41" t="s">
        <v>284</v>
      </c>
      <c r="M56" s="41" t="s">
        <v>157</v>
      </c>
      <c r="N56" s="41" t="s">
        <v>171</v>
      </c>
      <c r="O56" s="42"/>
      <c r="P56" s="48" t="s">
        <v>171</v>
      </c>
    </row>
    <row r="57" ht="15" customHeight="1" spans="1:16">
      <c r="A57" s="49"/>
      <c r="B57" s="50"/>
      <c r="C57" s="50"/>
      <c r="D57" s="12"/>
      <c r="E57" s="12"/>
      <c r="F57" s="12"/>
      <c r="G57" s="12"/>
      <c r="H57" s="51"/>
      <c r="I57" s="51"/>
      <c r="J57" s="52"/>
      <c r="K57" s="50"/>
      <c r="L57" s="50"/>
      <c r="M57" s="50"/>
      <c r="N57" s="50"/>
      <c r="O57" s="50"/>
      <c r="P57" s="16"/>
    </row>
    <row r="58" ht="15" customHeight="1" spans="1:16">
      <c r="A58" s="40">
        <v>20</v>
      </c>
      <c r="B58" s="41" t="s">
        <v>65</v>
      </c>
      <c r="C58" s="42"/>
      <c r="D58" s="43" t="str">
        <f xml:space="preserve">销货确认书!C40</f>
        <v>眼镜验光设备综合验光仪</v>
      </c>
      <c r="E58" s="44" t="s">
        <v>171</v>
      </c>
      <c r="F58" s="42"/>
      <c r="G58" s="44" t="s">
        <v>171</v>
      </c>
      <c r="H58" s="45" t="s">
        <v>211</v>
      </c>
      <c r="I58" s="45">
        <f xml:space="preserve">销货确认书!F40</f>
        <v>1</v>
      </c>
      <c r="J58" s="46">
        <v>0</v>
      </c>
      <c r="K58" s="47" t="s">
        <v>293</v>
      </c>
      <c r="L58" s="41" t="s">
        <v>284</v>
      </c>
      <c r="M58" s="41" t="s">
        <v>157</v>
      </c>
      <c r="N58" s="41" t="s">
        <v>171</v>
      </c>
      <c r="O58" s="42"/>
      <c r="P58" s="48" t="s">
        <v>171</v>
      </c>
    </row>
    <row r="59" ht="15" customHeight="1" spans="1:16">
      <c r="A59" s="49"/>
      <c r="B59" s="50"/>
      <c r="C59" s="50"/>
      <c r="D59" s="12"/>
      <c r="E59" s="12"/>
      <c r="F59" s="12"/>
      <c r="G59" s="12"/>
      <c r="H59" s="51"/>
      <c r="I59" s="51"/>
      <c r="J59" s="52"/>
      <c r="K59" s="50"/>
      <c r="L59" s="50"/>
      <c r="M59" s="50"/>
      <c r="N59" s="50"/>
      <c r="O59" s="50"/>
      <c r="P59" s="16"/>
    </row>
    <row r="60" ht="15" customHeight="1" spans="1:16">
      <c r="A60" s="40">
        <v>21</v>
      </c>
      <c r="B60" s="41" t="s">
        <v>74</v>
      </c>
      <c r="C60" s="42"/>
      <c r="D60" s="43" t="str">
        <f xml:space="preserve">销货确认书!C41</f>
        <v>全自动电脑焦度计</v>
      </c>
      <c r="E60" s="44" t="s">
        <v>171</v>
      </c>
      <c r="F60" s="42"/>
      <c r="G60" s="44" t="s">
        <v>171</v>
      </c>
      <c r="H60" s="45" t="s">
        <v>211</v>
      </c>
      <c r="I60" s="45">
        <f xml:space="preserve">销货确认书!F41</f>
        <v>1</v>
      </c>
      <c r="J60" s="46">
        <v>0</v>
      </c>
      <c r="K60" s="47" t="s">
        <v>293</v>
      </c>
      <c r="L60" s="41" t="s">
        <v>284</v>
      </c>
      <c r="M60" s="41" t="s">
        <v>157</v>
      </c>
      <c r="N60" s="41" t="s">
        <v>171</v>
      </c>
      <c r="O60" s="42"/>
      <c r="P60" s="48" t="s">
        <v>171</v>
      </c>
    </row>
    <row r="61" ht="15" customHeight="1" spans="1:16">
      <c r="A61" s="49"/>
      <c r="B61" s="50"/>
      <c r="C61" s="50"/>
      <c r="D61" s="12"/>
      <c r="E61" s="12"/>
      <c r="F61" s="12"/>
      <c r="G61" s="12"/>
      <c r="H61" s="51"/>
      <c r="I61" s="51"/>
      <c r="J61" s="52"/>
      <c r="K61" s="50"/>
      <c r="L61" s="50"/>
      <c r="M61" s="50"/>
      <c r="N61" s="50"/>
      <c r="O61" s="50"/>
      <c r="P61" s="16"/>
    </row>
    <row r="62" ht="15" customHeight="1" spans="1:16">
      <c r="A62" s="40">
        <v>22</v>
      </c>
      <c r="B62" s="41" t="s">
        <v>65</v>
      </c>
      <c r="C62" s="42"/>
      <c r="D62" s="43" t="str">
        <f xml:space="preserve">销货确认书!C42</f>
        <v>瞳距仪</v>
      </c>
      <c r="E62" s="44" t="s">
        <v>171</v>
      </c>
      <c r="F62" s="42"/>
      <c r="G62" s="44" t="s">
        <v>171</v>
      </c>
      <c r="H62" s="45" t="s">
        <v>211</v>
      </c>
      <c r="I62" s="45">
        <f xml:space="preserve">销货确认书!F42</f>
        <v>2</v>
      </c>
      <c r="J62" s="46">
        <v>0</v>
      </c>
      <c r="K62" s="47" t="s">
        <v>293</v>
      </c>
      <c r="L62" s="41" t="s">
        <v>284</v>
      </c>
      <c r="M62" s="41" t="s">
        <v>157</v>
      </c>
      <c r="N62" s="41" t="s">
        <v>171</v>
      </c>
      <c r="O62" s="42"/>
      <c r="P62" s="48" t="s">
        <v>171</v>
      </c>
    </row>
    <row r="63" ht="15" customHeight="1" spans="1:16">
      <c r="A63" s="49"/>
      <c r="B63" s="50"/>
      <c r="C63" s="50"/>
      <c r="D63" s="12"/>
      <c r="E63" s="12"/>
      <c r="F63" s="12"/>
      <c r="G63" s="12"/>
      <c r="H63" s="51"/>
      <c r="I63" s="51"/>
      <c r="J63" s="52"/>
      <c r="K63" s="50"/>
      <c r="L63" s="50"/>
      <c r="M63" s="50"/>
      <c r="N63" s="50"/>
      <c r="O63" s="50"/>
      <c r="P63" s="16"/>
    </row>
    <row r="64" ht="15" customHeight="1" spans="1:16">
      <c r="A64" s="40">
        <v>23</v>
      </c>
      <c r="B64" s="41" t="s">
        <v>79</v>
      </c>
      <c r="C64" s="42"/>
      <c r="D64" s="43" t="str">
        <f xml:space="preserve">销货确认书!C43</f>
        <v>眼镜加热设备</v>
      </c>
      <c r="E64" s="44" t="s">
        <v>171</v>
      </c>
      <c r="F64" s="42"/>
      <c r="G64" s="44" t="s">
        <v>171</v>
      </c>
      <c r="H64" s="45" t="s">
        <v>211</v>
      </c>
      <c r="I64" s="45">
        <f xml:space="preserve">销货确认书!F43</f>
        <v>2</v>
      </c>
      <c r="J64" s="46">
        <v>0</v>
      </c>
      <c r="K64" s="47" t="s">
        <v>293</v>
      </c>
      <c r="L64" s="41" t="s">
        <v>284</v>
      </c>
      <c r="M64" s="41" t="s">
        <v>157</v>
      </c>
      <c r="N64" s="41" t="s">
        <v>171</v>
      </c>
      <c r="O64" s="42"/>
      <c r="P64" s="48" t="s">
        <v>171</v>
      </c>
    </row>
    <row r="65" ht="15" customHeight="1" spans="1:16">
      <c r="A65" s="49"/>
      <c r="B65" s="50"/>
      <c r="C65" s="50"/>
      <c r="D65" s="12"/>
      <c r="E65" s="12"/>
      <c r="F65" s="12"/>
      <c r="G65" s="12"/>
      <c r="H65" s="51"/>
      <c r="I65" s="51"/>
      <c r="J65" s="52"/>
      <c r="K65" s="50"/>
      <c r="L65" s="50"/>
      <c r="M65" s="50"/>
      <c r="N65" s="50"/>
      <c r="O65" s="50"/>
      <c r="P65" s="16"/>
    </row>
    <row r="66" ht="15" customHeight="1" spans="1:16">
      <c r="A66" s="40">
        <v>24</v>
      </c>
      <c r="B66" s="41" t="s">
        <v>65</v>
      </c>
      <c r="C66" s="42"/>
      <c r="D66" s="43" t="str">
        <f xml:space="preserve">销货确认书!C44</f>
        <v>验光镜片箱</v>
      </c>
      <c r="E66" s="44" t="s">
        <v>171</v>
      </c>
      <c r="F66" s="42"/>
      <c r="G66" s="44" t="s">
        <v>171</v>
      </c>
      <c r="H66" s="45" t="s">
        <v>211</v>
      </c>
      <c r="I66" s="45">
        <f xml:space="preserve">销货确认书!F44</f>
        <v>2</v>
      </c>
      <c r="J66" s="46">
        <v>0</v>
      </c>
      <c r="K66" s="47" t="s">
        <v>293</v>
      </c>
      <c r="L66" s="41" t="s">
        <v>284</v>
      </c>
      <c r="M66" s="41" t="s">
        <v>157</v>
      </c>
      <c r="N66" s="41" t="s">
        <v>171</v>
      </c>
      <c r="O66" s="42"/>
      <c r="P66" s="48" t="s">
        <v>171</v>
      </c>
    </row>
    <row r="67" ht="15" customHeight="1" spans="1:16">
      <c r="A67" s="49"/>
      <c r="B67" s="50"/>
      <c r="C67" s="50"/>
      <c r="D67" s="12"/>
      <c r="E67" s="12"/>
      <c r="F67" s="12"/>
      <c r="G67" s="12"/>
      <c r="H67" s="51"/>
      <c r="I67" s="51"/>
      <c r="J67" s="52"/>
      <c r="K67" s="50"/>
      <c r="L67" s="50"/>
      <c r="M67" s="50"/>
      <c r="N67" s="50"/>
      <c r="O67" s="50"/>
      <c r="P67" s="16"/>
    </row>
    <row r="68" ht="15" customHeight="1" spans="1:16">
      <c r="A68" s="40">
        <v>25</v>
      </c>
      <c r="B68" s="41" t="s">
        <v>84</v>
      </c>
      <c r="C68" s="42"/>
      <c r="D68" s="43" t="str">
        <f xml:space="preserve">销货确认书!C45</f>
        <v>双层海报架</v>
      </c>
      <c r="E68" s="44" t="s">
        <v>171</v>
      </c>
      <c r="F68" s="42"/>
      <c r="G68" s="44" t="s">
        <v>171</v>
      </c>
      <c r="H68" s="45" t="s">
        <v>211</v>
      </c>
      <c r="I68" s="45">
        <f xml:space="preserve">销货确认书!F45</f>
        <v>2</v>
      </c>
      <c r="J68" s="46">
        <v>0</v>
      </c>
      <c r="K68" s="47" t="s">
        <v>293</v>
      </c>
      <c r="L68" s="41" t="s">
        <v>284</v>
      </c>
      <c r="M68" s="41" t="s">
        <v>157</v>
      </c>
      <c r="N68" s="41" t="s">
        <v>171</v>
      </c>
      <c r="O68" s="42"/>
      <c r="P68" s="48" t="s">
        <v>171</v>
      </c>
    </row>
    <row r="69" ht="15" customHeight="1" spans="1:16">
      <c r="A69" s="49"/>
      <c r="B69" s="50"/>
      <c r="C69" s="50"/>
      <c r="D69" s="12"/>
      <c r="E69" s="12"/>
      <c r="F69" s="12"/>
      <c r="G69" s="12"/>
      <c r="H69" s="51"/>
      <c r="I69" s="51"/>
      <c r="J69" s="52"/>
      <c r="K69" s="50"/>
      <c r="L69" s="50"/>
      <c r="M69" s="50"/>
      <c r="N69" s="50"/>
      <c r="O69" s="50"/>
      <c r="P69" s="16"/>
    </row>
    <row r="70" ht="15" customHeight="1" spans="1:16">
      <c r="A70" s="40">
        <v>26</v>
      </c>
      <c r="B70" s="41" t="s">
        <v>88</v>
      </c>
      <c r="C70" s="42"/>
      <c r="D70" s="43" t="str">
        <f xml:space="preserve">销货确认书!C46</f>
        <v>渐进多焦点镜片测试仪</v>
      </c>
      <c r="E70" s="44" t="s">
        <v>171</v>
      </c>
      <c r="F70" s="42"/>
      <c r="G70" s="44" t="s">
        <v>171</v>
      </c>
      <c r="H70" s="45" t="s">
        <v>211</v>
      </c>
      <c r="I70" s="45">
        <f xml:space="preserve">销货确认书!F46</f>
        <v>1</v>
      </c>
      <c r="J70" s="46">
        <v>0</v>
      </c>
      <c r="K70" s="47" t="s">
        <v>293</v>
      </c>
      <c r="L70" s="41" t="s">
        <v>284</v>
      </c>
      <c r="M70" s="41" t="s">
        <v>157</v>
      </c>
      <c r="N70" s="41" t="s">
        <v>171</v>
      </c>
      <c r="O70" s="42"/>
      <c r="P70" s="48" t="s">
        <v>171</v>
      </c>
    </row>
    <row r="71" ht="15" customHeight="1" spans="1:16">
      <c r="A71" s="49"/>
      <c r="B71" s="50"/>
      <c r="C71" s="50"/>
      <c r="D71" s="12"/>
      <c r="E71" s="12"/>
      <c r="F71" s="12"/>
      <c r="G71" s="12"/>
      <c r="H71" s="51"/>
      <c r="I71" s="51"/>
      <c r="J71" s="52"/>
      <c r="K71" s="50"/>
      <c r="L71" s="50"/>
      <c r="M71" s="50"/>
      <c r="N71" s="50"/>
      <c r="O71" s="50"/>
      <c r="P71" s="16"/>
    </row>
    <row r="72" ht="15" customHeight="1" spans="1:16">
      <c r="A72" s="40">
        <v>27</v>
      </c>
      <c r="B72" s="41" t="s">
        <v>91</v>
      </c>
      <c r="C72" s="42"/>
      <c r="D72" s="43" t="str">
        <f xml:space="preserve">销货确认书!C47</f>
        <v>眼镜配件工具</v>
      </c>
      <c r="E72" s="44" t="s">
        <v>171</v>
      </c>
      <c r="F72" s="42"/>
      <c r="G72" s="44" t="s">
        <v>171</v>
      </c>
      <c r="H72" s="45" t="s">
        <v>211</v>
      </c>
      <c r="I72" s="45">
        <f xml:space="preserve">销货确认书!F47</f>
        <v>1</v>
      </c>
      <c r="J72" s="46">
        <v>0</v>
      </c>
      <c r="K72" s="47" t="s">
        <v>293</v>
      </c>
      <c r="L72" s="41" t="s">
        <v>284</v>
      </c>
      <c r="M72" s="41" t="s">
        <v>157</v>
      </c>
      <c r="N72" s="41" t="s">
        <v>171</v>
      </c>
      <c r="O72" s="42"/>
      <c r="P72" s="48" t="s">
        <v>171</v>
      </c>
    </row>
    <row r="73" ht="15" customHeight="1" spans="1:16">
      <c r="A73" s="49"/>
      <c r="B73" s="50"/>
      <c r="C73" s="50"/>
      <c r="D73" s="12"/>
      <c r="E73" s="12"/>
      <c r="F73" s="12"/>
      <c r="G73" s="12"/>
      <c r="H73" s="51"/>
      <c r="I73" s="51"/>
      <c r="J73" s="52"/>
      <c r="K73" s="50"/>
      <c r="L73" s="50"/>
      <c r="M73" s="50"/>
      <c r="N73" s="50"/>
      <c r="O73" s="50"/>
      <c r="P73" s="16"/>
    </row>
    <row r="74" ht="15" customHeight="1" spans="1:16">
      <c r="A74" s="40">
        <v>28</v>
      </c>
      <c r="B74" s="41" t="s">
        <v>95</v>
      </c>
      <c r="C74" s="42"/>
      <c r="D74" s="43" t="str">
        <f xml:space="preserve">销货确认书!C48</f>
        <v>变色镜片检测仪</v>
      </c>
      <c r="E74" s="44" t="s">
        <v>171</v>
      </c>
      <c r="F74" s="42"/>
      <c r="G74" s="44" t="s">
        <v>171</v>
      </c>
      <c r="H74" s="45" t="s">
        <v>211</v>
      </c>
      <c r="I74" s="45">
        <f xml:space="preserve">销货确认书!F48</f>
        <v>2</v>
      </c>
      <c r="J74" s="46">
        <v>0</v>
      </c>
      <c r="K74" s="47" t="s">
        <v>293</v>
      </c>
      <c r="L74" s="41" t="s">
        <v>284</v>
      </c>
      <c r="M74" s="41" t="s">
        <v>157</v>
      </c>
      <c r="N74" s="41" t="s">
        <v>171</v>
      </c>
      <c r="O74" s="42"/>
      <c r="P74" s="48" t="s">
        <v>171</v>
      </c>
    </row>
    <row r="75" ht="15" customHeight="1" spans="1:16">
      <c r="A75" s="49"/>
      <c r="B75" s="50"/>
      <c r="C75" s="50"/>
      <c r="D75" s="12"/>
      <c r="E75" s="12"/>
      <c r="F75" s="12"/>
      <c r="G75" s="12"/>
      <c r="H75" s="51"/>
      <c r="I75" s="51"/>
      <c r="J75" s="52"/>
      <c r="K75" s="50"/>
      <c r="L75" s="50"/>
      <c r="M75" s="50"/>
      <c r="N75" s="50"/>
      <c r="O75" s="50"/>
      <c r="P75" s="16"/>
    </row>
    <row r="76" ht="15" customHeight="1" spans="1:16">
      <c r="A76" s="40">
        <v>29</v>
      </c>
      <c r="B76" s="41" t="s">
        <v>99</v>
      </c>
      <c r="C76" s="42"/>
      <c r="D76" s="43" t="str">
        <f xml:space="preserve">销货确认书!C49</f>
        <v>2026新版眼科色盲书38页</v>
      </c>
      <c r="E76" s="44" t="s">
        <v>171</v>
      </c>
      <c r="F76" s="42"/>
      <c r="G76" s="44" t="s">
        <v>171</v>
      </c>
      <c r="H76" s="45" t="s">
        <v>211</v>
      </c>
      <c r="I76" s="45">
        <f xml:space="preserve">销货确认书!F49</f>
        <v>1</v>
      </c>
      <c r="J76" s="46">
        <v>0</v>
      </c>
      <c r="K76" s="47" t="s">
        <v>293</v>
      </c>
      <c r="L76" s="41" t="s">
        <v>284</v>
      </c>
      <c r="M76" s="41" t="s">
        <v>157</v>
      </c>
      <c r="N76" s="41" t="s">
        <v>171</v>
      </c>
      <c r="O76" s="42"/>
      <c r="P76" s="48" t="s">
        <v>171</v>
      </c>
    </row>
    <row r="77" ht="15" customHeight="1" spans="1:16">
      <c r="A77" s="49"/>
      <c r="B77" s="50"/>
      <c r="C77" s="50"/>
      <c r="D77" s="12"/>
      <c r="E77" s="12"/>
      <c r="F77" s="12"/>
      <c r="G77" s="12"/>
      <c r="H77" s="51"/>
      <c r="I77" s="51"/>
      <c r="J77" s="52"/>
      <c r="K77" s="50"/>
      <c r="L77" s="50"/>
      <c r="M77" s="50"/>
      <c r="N77" s="50"/>
      <c r="O77" s="50"/>
      <c r="P77" s="16"/>
    </row>
    <row r="78" ht="15" customHeight="1" spans="1:16">
      <c r="A78" s="40">
        <v>30</v>
      </c>
      <c r="B78" s="41" t="s">
        <v>103</v>
      </c>
      <c r="C78" s="42"/>
      <c r="D78" s="43" t="str">
        <f xml:space="preserve">销货确认书!C50</f>
        <v>墨镜夹片</v>
      </c>
      <c r="E78" s="44" t="s">
        <v>171</v>
      </c>
      <c r="F78" s="42"/>
      <c r="G78" s="44" t="s">
        <v>171</v>
      </c>
      <c r="H78" s="45" t="s">
        <v>211</v>
      </c>
      <c r="I78" s="45">
        <f xml:space="preserve">销货确认书!F50</f>
        <v>30</v>
      </c>
      <c r="J78" s="46">
        <v>0</v>
      </c>
      <c r="K78" s="47" t="s">
        <v>293</v>
      </c>
      <c r="L78" s="41" t="s">
        <v>284</v>
      </c>
      <c r="M78" s="41" t="s">
        <v>157</v>
      </c>
      <c r="N78" s="41" t="s">
        <v>171</v>
      </c>
      <c r="O78" s="42"/>
      <c r="P78" s="48" t="s">
        <v>171</v>
      </c>
    </row>
    <row r="79" ht="15" customHeight="1" spans="1:16">
      <c r="A79" s="49"/>
      <c r="B79" s="50"/>
      <c r="C79" s="50"/>
      <c r="D79" s="12"/>
      <c r="E79" s="12"/>
      <c r="F79" s="12"/>
      <c r="G79" s="12"/>
      <c r="H79" s="51"/>
      <c r="I79" s="51"/>
      <c r="J79" s="52"/>
      <c r="K79" s="50"/>
      <c r="L79" s="50"/>
      <c r="M79" s="50"/>
      <c r="N79" s="50"/>
      <c r="O79" s="50"/>
      <c r="P79" s="16"/>
    </row>
    <row r="80" ht="15" customHeight="1" spans="1:16">
      <c r="A80" s="40">
        <v>31</v>
      </c>
      <c r="B80" s="41" t="s">
        <v>103</v>
      </c>
      <c r="C80" s="42"/>
      <c r="D80" s="43" t="str">
        <f xml:space="preserve">销货确认书!C51</f>
        <v>墨镜夹片</v>
      </c>
      <c r="E80" s="44" t="s">
        <v>171</v>
      </c>
      <c r="F80" s="42"/>
      <c r="G80" s="44" t="s">
        <v>171</v>
      </c>
      <c r="H80" s="45" t="s">
        <v>211</v>
      </c>
      <c r="I80" s="45">
        <f xml:space="preserve">销货确认书!F51</f>
        <v>50</v>
      </c>
      <c r="J80" s="46">
        <v>0</v>
      </c>
      <c r="K80" s="47" t="s">
        <v>293</v>
      </c>
      <c r="L80" s="41" t="s">
        <v>284</v>
      </c>
      <c r="M80" s="41" t="s">
        <v>157</v>
      </c>
      <c r="N80" s="41" t="s">
        <v>171</v>
      </c>
      <c r="O80" s="42"/>
      <c r="P80" s="48" t="s">
        <v>171</v>
      </c>
    </row>
    <row r="81" ht="15" customHeight="1" spans="1:16">
      <c r="A81" s="49"/>
      <c r="B81" s="50"/>
      <c r="C81" s="50"/>
      <c r="D81" s="12"/>
      <c r="E81" s="12"/>
      <c r="F81" s="12"/>
      <c r="G81" s="12"/>
      <c r="H81" s="51"/>
      <c r="I81" s="51"/>
      <c r="J81" s="52"/>
      <c r="K81" s="50"/>
      <c r="L81" s="50"/>
      <c r="M81" s="50"/>
      <c r="N81" s="50"/>
      <c r="O81" s="50"/>
      <c r="P81" s="16"/>
    </row>
    <row r="82" ht="15" customHeight="1" spans="1:16">
      <c r="A82" s="40">
        <v>32</v>
      </c>
      <c r="B82" s="41" t="s">
        <v>107</v>
      </c>
      <c r="C82" s="42"/>
      <c r="D82" s="43" t="str">
        <f xml:space="preserve">销货确认书!C52</f>
        <v>记号笔</v>
      </c>
      <c r="E82" s="44" t="s">
        <v>171</v>
      </c>
      <c r="F82" s="42"/>
      <c r="G82" s="44" t="s">
        <v>171</v>
      </c>
      <c r="H82" s="45" t="s">
        <v>211</v>
      </c>
      <c r="I82" s="45">
        <f xml:space="preserve">销货确认书!F52</f>
        <v>50</v>
      </c>
      <c r="J82" s="46">
        <v>0</v>
      </c>
      <c r="K82" s="47" t="s">
        <v>293</v>
      </c>
      <c r="L82" s="41" t="s">
        <v>284</v>
      </c>
      <c r="M82" s="41" t="s">
        <v>157</v>
      </c>
      <c r="N82" s="41" t="s">
        <v>171</v>
      </c>
      <c r="O82" s="42"/>
      <c r="P82" s="48" t="s">
        <v>171</v>
      </c>
    </row>
    <row r="83" ht="15" customHeight="1" spans="1:16">
      <c r="A83" s="49"/>
      <c r="B83" s="50"/>
      <c r="C83" s="50"/>
      <c r="D83" s="12"/>
      <c r="E83" s="12"/>
      <c r="F83" s="12"/>
      <c r="G83" s="12"/>
      <c r="H83" s="51"/>
      <c r="I83" s="51"/>
      <c r="J83" s="52"/>
      <c r="K83" s="50"/>
      <c r="L83" s="50"/>
      <c r="M83" s="50"/>
      <c r="N83" s="50"/>
      <c r="O83" s="50"/>
      <c r="P83" s="16"/>
    </row>
    <row r="84" ht="15" customHeight="1" spans="1:16">
      <c r="A84" s="40">
        <v>33</v>
      </c>
      <c r="B84" s="41" t="s">
        <v>110</v>
      </c>
      <c r="C84" s="42"/>
      <c r="D84" s="43" t="str">
        <f xml:space="preserve">销货确认书!C53</f>
        <v>维修工具套装</v>
      </c>
      <c r="E84" s="44" t="s">
        <v>171</v>
      </c>
      <c r="F84" s="42"/>
      <c r="G84" s="44" t="s">
        <v>171</v>
      </c>
      <c r="H84" s="45" t="s">
        <v>211</v>
      </c>
      <c r="I84" s="45">
        <f xml:space="preserve">销货确认书!F53</f>
        <v>1</v>
      </c>
      <c r="J84" s="46">
        <v>0</v>
      </c>
      <c r="K84" s="47" t="s">
        <v>293</v>
      </c>
      <c r="L84" s="41" t="s">
        <v>284</v>
      </c>
      <c r="M84" s="41" t="s">
        <v>157</v>
      </c>
      <c r="N84" s="41" t="s">
        <v>171</v>
      </c>
      <c r="O84" s="42"/>
      <c r="P84" s="48" t="s">
        <v>171</v>
      </c>
    </row>
    <row r="85" ht="15" customHeight="1" spans="1:16">
      <c r="A85" s="49"/>
      <c r="B85" s="50"/>
      <c r="C85" s="50"/>
      <c r="D85" s="12"/>
      <c r="E85" s="12"/>
      <c r="F85" s="12"/>
      <c r="G85" s="12"/>
      <c r="H85" s="51"/>
      <c r="I85" s="51"/>
      <c r="J85" s="52"/>
      <c r="K85" s="50"/>
      <c r="L85" s="50"/>
      <c r="M85" s="50"/>
      <c r="N85" s="50"/>
      <c r="O85" s="50"/>
      <c r="P85" s="16"/>
    </row>
    <row r="86" ht="15" customHeight="1" spans="1:16">
      <c r="A86" s="40">
        <v>34</v>
      </c>
      <c r="B86" s="41" t="s">
        <v>65</v>
      </c>
      <c r="C86" s="42"/>
      <c r="D86" s="43" t="str">
        <f xml:space="preserve">销货确认书!C54</f>
        <v>多功能光学试镜架</v>
      </c>
      <c r="E86" s="44" t="s">
        <v>171</v>
      </c>
      <c r="F86" s="42"/>
      <c r="G86" s="44" t="s">
        <v>171</v>
      </c>
      <c r="H86" s="45" t="s">
        <v>211</v>
      </c>
      <c r="I86" s="45">
        <f xml:space="preserve">销货确认书!F54</f>
        <v>3</v>
      </c>
      <c r="J86" s="46">
        <v>0</v>
      </c>
      <c r="K86" s="47" t="s">
        <v>293</v>
      </c>
      <c r="L86" s="41" t="s">
        <v>284</v>
      </c>
      <c r="M86" s="41" t="s">
        <v>157</v>
      </c>
      <c r="N86" s="41" t="s">
        <v>171</v>
      </c>
      <c r="O86" s="42"/>
      <c r="P86" s="48" t="s">
        <v>171</v>
      </c>
    </row>
    <row r="87" ht="15" customHeight="1" spans="1:16">
      <c r="A87" s="49"/>
      <c r="B87" s="50"/>
      <c r="C87" s="50"/>
      <c r="D87" s="12"/>
      <c r="E87" s="12"/>
      <c r="F87" s="12"/>
      <c r="G87" s="12"/>
      <c r="H87" s="51"/>
      <c r="I87" s="51"/>
      <c r="J87" s="52"/>
      <c r="K87" s="50"/>
      <c r="L87" s="50"/>
      <c r="M87" s="50"/>
      <c r="N87" s="50"/>
      <c r="O87" s="50"/>
      <c r="P87" s="16"/>
    </row>
    <row r="88" ht="15" customHeight="1" spans="1:16">
      <c r="A88" s="40">
        <v>35</v>
      </c>
      <c r="B88" s="41" t="s">
        <v>110</v>
      </c>
      <c r="C88" s="42"/>
      <c r="D88" s="43" t="str">
        <f xml:space="preserve">销货确认书!C55</f>
        <v>眼镜维修镜架工具</v>
      </c>
      <c r="E88" s="44" t="s">
        <v>171</v>
      </c>
      <c r="F88" s="42"/>
      <c r="G88" s="44" t="s">
        <v>171</v>
      </c>
      <c r="H88" s="45" t="s">
        <v>211</v>
      </c>
      <c r="I88" s="45">
        <f xml:space="preserve">销货确认书!F55</f>
        <v>2</v>
      </c>
      <c r="J88" s="46">
        <v>0</v>
      </c>
      <c r="K88" s="47" t="s">
        <v>293</v>
      </c>
      <c r="L88" s="41" t="s">
        <v>284</v>
      </c>
      <c r="M88" s="41" t="s">
        <v>157</v>
      </c>
      <c r="N88" s="41" t="s">
        <v>171</v>
      </c>
      <c r="O88" s="42"/>
      <c r="P88" s="48" t="s">
        <v>171</v>
      </c>
    </row>
    <row r="89" ht="15" customHeight="1" spans="1:16">
      <c r="A89" s="49"/>
      <c r="B89" s="50"/>
      <c r="C89" s="50"/>
      <c r="D89" s="12"/>
      <c r="E89" s="12"/>
      <c r="F89" s="12"/>
      <c r="G89" s="12"/>
      <c r="H89" s="51"/>
      <c r="I89" s="51"/>
      <c r="J89" s="52"/>
      <c r="K89" s="50"/>
      <c r="L89" s="50"/>
      <c r="M89" s="50"/>
      <c r="N89" s="50"/>
      <c r="O89" s="50"/>
      <c r="P89" s="16"/>
    </row>
    <row r="90" ht="15" customHeight="1" spans="1:16">
      <c r="A90" s="40">
        <v>36</v>
      </c>
      <c r="B90" s="41" t="s">
        <v>88</v>
      </c>
      <c r="C90" s="42"/>
      <c r="D90" s="43" t="str">
        <f xml:space="preserve">销货确认书!C56</f>
        <v>中心仪</v>
      </c>
      <c r="E90" s="44" t="s">
        <v>171</v>
      </c>
      <c r="F90" s="42"/>
      <c r="G90" s="44" t="s">
        <v>171</v>
      </c>
      <c r="H90" s="45" t="s">
        <v>211</v>
      </c>
      <c r="I90" s="45">
        <f xml:space="preserve">销货确认书!F56</f>
        <v>1</v>
      </c>
      <c r="J90" s="46">
        <v>0</v>
      </c>
      <c r="K90" s="47" t="s">
        <v>293</v>
      </c>
      <c r="L90" s="41" t="s">
        <v>284</v>
      </c>
      <c r="M90" s="41" t="s">
        <v>157</v>
      </c>
      <c r="N90" s="41" t="s">
        <v>171</v>
      </c>
      <c r="O90" s="42"/>
      <c r="P90" s="48" t="s">
        <v>171</v>
      </c>
    </row>
    <row r="91" ht="15" customHeight="1" spans="1:16">
      <c r="A91" s="49"/>
      <c r="B91" s="50"/>
      <c r="C91" s="50"/>
      <c r="D91" s="12"/>
      <c r="E91" s="12"/>
      <c r="F91" s="12"/>
      <c r="G91" s="12"/>
      <c r="H91" s="51"/>
      <c r="I91" s="51"/>
      <c r="J91" s="52"/>
      <c r="K91" s="50"/>
      <c r="L91" s="50"/>
      <c r="M91" s="50"/>
      <c r="N91" s="50"/>
      <c r="O91" s="50"/>
      <c r="P91" s="16"/>
    </row>
    <row r="92" ht="15" customHeight="1" spans="1:16">
      <c r="A92" s="40">
        <v>37</v>
      </c>
      <c r="B92" s="41" t="s">
        <v>123</v>
      </c>
      <c r="C92" s="42"/>
      <c r="D92" s="43" t="str">
        <f xml:space="preserve">销货确认书!C57</f>
        <v>人体眼球仿真模型</v>
      </c>
      <c r="E92" s="44" t="s">
        <v>171</v>
      </c>
      <c r="F92" s="42"/>
      <c r="G92" s="44" t="s">
        <v>171</v>
      </c>
      <c r="H92" s="45" t="s">
        <v>211</v>
      </c>
      <c r="I92" s="45">
        <f xml:space="preserve">销货确认书!F57</f>
        <v>2</v>
      </c>
      <c r="J92" s="46">
        <v>0</v>
      </c>
      <c r="K92" s="47" t="s">
        <v>293</v>
      </c>
      <c r="L92" s="41" t="s">
        <v>284</v>
      </c>
      <c r="M92" s="41" t="s">
        <v>157</v>
      </c>
      <c r="N92" s="41" t="s">
        <v>171</v>
      </c>
      <c r="O92" s="42"/>
      <c r="P92" s="48" t="s">
        <v>171</v>
      </c>
    </row>
    <row r="93" ht="15" customHeight="1" spans="1:16">
      <c r="A93" s="49"/>
      <c r="B93" s="50"/>
      <c r="C93" s="50"/>
      <c r="D93" s="12"/>
      <c r="E93" s="12"/>
      <c r="F93" s="12"/>
      <c r="G93" s="12"/>
      <c r="H93" s="51"/>
      <c r="I93" s="51"/>
      <c r="J93" s="52"/>
      <c r="K93" s="50"/>
      <c r="L93" s="50"/>
      <c r="M93" s="50"/>
      <c r="N93" s="50"/>
      <c r="O93" s="50"/>
      <c r="P93" s="16"/>
    </row>
    <row r="94" ht="15" customHeight="1" spans="1:16">
      <c r="A94" s="40">
        <v>38</v>
      </c>
      <c r="B94" s="41" t="s">
        <v>127</v>
      </c>
      <c r="C94" s="42"/>
      <c r="D94" s="43" t="str">
        <f xml:space="preserve">销货确认书!C58</f>
        <v>亚克力台卡</v>
      </c>
      <c r="E94" s="44" t="s">
        <v>171</v>
      </c>
      <c r="F94" s="42"/>
      <c r="G94" s="44" t="s">
        <v>171</v>
      </c>
      <c r="H94" s="45" t="s">
        <v>211</v>
      </c>
      <c r="I94" s="45">
        <f xml:space="preserve">销货确认书!F58</f>
        <v>50</v>
      </c>
      <c r="J94" s="46">
        <v>0</v>
      </c>
      <c r="K94" s="47" t="s">
        <v>293</v>
      </c>
      <c r="L94" s="41" t="s">
        <v>284</v>
      </c>
      <c r="M94" s="41" t="s">
        <v>157</v>
      </c>
      <c r="N94" s="41" t="s">
        <v>171</v>
      </c>
      <c r="O94" s="42"/>
      <c r="P94" s="48" t="s">
        <v>171</v>
      </c>
    </row>
    <row r="95" ht="15" customHeight="1" spans="1:16">
      <c r="A95" s="49"/>
      <c r="B95" s="50"/>
      <c r="C95" s="50"/>
      <c r="D95" s="12"/>
      <c r="E95" s="12"/>
      <c r="F95" s="12"/>
      <c r="G95" s="12"/>
      <c r="H95" s="51"/>
      <c r="I95" s="51"/>
      <c r="J95" s="52"/>
      <c r="K95" s="50"/>
      <c r="L95" s="50"/>
      <c r="M95" s="50"/>
      <c r="N95" s="50"/>
      <c r="O95" s="50"/>
      <c r="P95" s="16"/>
    </row>
    <row r="96" ht="15" customHeight="1" spans="1:16">
      <c r="A96" s="40">
        <v>39</v>
      </c>
      <c r="B96" s="41" t="s">
        <v>127</v>
      </c>
      <c r="C96" s="42"/>
      <c r="D96" s="43" t="str">
        <f xml:space="preserve">销货确认书!C59</f>
        <v>亚克力台卡</v>
      </c>
      <c r="E96" s="44" t="s">
        <v>171</v>
      </c>
      <c r="F96" s="42"/>
      <c r="G96" s="44" t="s">
        <v>171</v>
      </c>
      <c r="H96" s="45" t="s">
        <v>211</v>
      </c>
      <c r="I96" s="45">
        <f xml:space="preserve">销货确认书!F59</f>
        <v>50</v>
      </c>
      <c r="J96" s="46">
        <v>0</v>
      </c>
      <c r="K96" s="47" t="s">
        <v>293</v>
      </c>
      <c r="L96" s="41" t="s">
        <v>284</v>
      </c>
      <c r="M96" s="41" t="s">
        <v>157</v>
      </c>
      <c r="N96" s="41" t="s">
        <v>171</v>
      </c>
      <c r="O96" s="42"/>
      <c r="P96" s="48" t="s">
        <v>171</v>
      </c>
    </row>
    <row r="97" ht="15" customHeight="1" spans="1:16">
      <c r="A97" s="49"/>
      <c r="B97" s="50"/>
      <c r="C97" s="50"/>
      <c r="D97" s="12"/>
      <c r="E97" s="12"/>
      <c r="F97" s="12"/>
      <c r="G97" s="12"/>
      <c r="H97" s="51"/>
      <c r="I97" s="51"/>
      <c r="J97" s="52"/>
      <c r="K97" s="50"/>
      <c r="L97" s="50"/>
      <c r="M97" s="50"/>
      <c r="N97" s="50"/>
      <c r="O97" s="50"/>
      <c r="P97" s="16"/>
    </row>
    <row r="98" ht="15" customHeight="1" spans="1:16">
      <c r="A98" s="40">
        <v>40</v>
      </c>
      <c r="B98" s="41" t="s">
        <v>65</v>
      </c>
      <c r="C98" s="42"/>
      <c r="D98" s="43" t="str">
        <f xml:space="preserve">销货确认书!C60</f>
        <v>电动验光升降组合台</v>
      </c>
      <c r="E98" s="44" t="s">
        <v>171</v>
      </c>
      <c r="F98" s="42"/>
      <c r="G98" s="44" t="s">
        <v>171</v>
      </c>
      <c r="H98" s="45" t="s">
        <v>211</v>
      </c>
      <c r="I98" s="45">
        <f xml:space="preserve">销货确认书!F60</f>
        <v>1</v>
      </c>
      <c r="J98" s="46">
        <v>0</v>
      </c>
      <c r="K98" s="47" t="s">
        <v>293</v>
      </c>
      <c r="L98" s="41" t="s">
        <v>284</v>
      </c>
      <c r="M98" s="41" t="s">
        <v>157</v>
      </c>
      <c r="N98" s="41" t="s">
        <v>171</v>
      </c>
      <c r="O98" s="42"/>
      <c r="P98" s="48" t="s">
        <v>171</v>
      </c>
    </row>
    <row r="99" ht="15" customHeight="1" spans="1:16">
      <c r="A99" s="49"/>
      <c r="B99" s="50"/>
      <c r="C99" s="50"/>
      <c r="D99" s="12"/>
      <c r="E99" s="12"/>
      <c r="F99" s="12"/>
      <c r="G99" s="12"/>
      <c r="H99" s="51"/>
      <c r="I99" s="51"/>
      <c r="J99" s="52"/>
      <c r="K99" s="50"/>
      <c r="L99" s="50"/>
      <c r="M99" s="50"/>
      <c r="N99" s="50"/>
      <c r="O99" s="50"/>
      <c r="P99" s="16"/>
    </row>
    <row r="100" ht="15" customHeight="1" spans="1:16">
      <c r="A100" s="40">
        <v>41</v>
      </c>
      <c r="B100" s="41" t="s">
        <v>134</v>
      </c>
      <c r="C100" s="42"/>
      <c r="D100" s="43" t="str">
        <f xml:space="preserve">销货确认书!C61</f>
        <v>DAS镜片双面贴</v>
      </c>
      <c r="E100" s="44" t="s">
        <v>171</v>
      </c>
      <c r="F100" s="42"/>
      <c r="G100" s="44" t="s">
        <v>171</v>
      </c>
      <c r="H100" s="45" t="s">
        <v>211</v>
      </c>
      <c r="I100" s="45">
        <f xml:space="preserve">销货确认书!F61</f>
        <v>5</v>
      </c>
      <c r="J100" s="46">
        <v>0</v>
      </c>
      <c r="K100" s="47" t="s">
        <v>293</v>
      </c>
      <c r="L100" s="41" t="s">
        <v>284</v>
      </c>
      <c r="M100" s="41" t="s">
        <v>157</v>
      </c>
      <c r="N100" s="41" t="s">
        <v>171</v>
      </c>
      <c r="O100" s="42"/>
      <c r="P100" s="48" t="s">
        <v>171</v>
      </c>
    </row>
    <row r="101" ht="15" customHeight="1" spans="1:16">
      <c r="A101" s="49"/>
      <c r="B101" s="50"/>
      <c r="C101" s="50"/>
      <c r="D101" s="12"/>
      <c r="E101" s="12"/>
      <c r="F101" s="12"/>
      <c r="G101" s="12"/>
      <c r="H101" s="51"/>
      <c r="I101" s="51"/>
      <c r="J101" s="52"/>
      <c r="K101" s="50"/>
      <c r="L101" s="50"/>
      <c r="M101" s="50"/>
      <c r="N101" s="50"/>
      <c r="O101" s="50"/>
      <c r="P101" s="16"/>
    </row>
    <row r="102" ht="15" customHeight="1" spans="1:16">
      <c r="A102" s="40">
        <v>42</v>
      </c>
      <c r="B102" s="41" t="s">
        <v>138</v>
      </c>
      <c r="C102" s="42"/>
      <c r="D102" s="43" t="str">
        <f xml:space="preserve">销货确认书!C62</f>
        <v>收据本</v>
      </c>
      <c r="E102" s="44" t="s">
        <v>171</v>
      </c>
      <c r="F102" s="42"/>
      <c r="G102" s="44" t="s">
        <v>171</v>
      </c>
      <c r="H102" s="45" t="s">
        <v>211</v>
      </c>
      <c r="I102" s="45">
        <f xml:space="preserve">销货确认书!F62</f>
        <v>100</v>
      </c>
      <c r="J102" s="46">
        <v>0.67</v>
      </c>
      <c r="K102" s="47" t="s">
        <v>294</v>
      </c>
      <c r="L102" s="41" t="s">
        <v>284</v>
      </c>
      <c r="M102" s="41" t="s">
        <v>157</v>
      </c>
      <c r="N102" s="41" t="s">
        <v>171</v>
      </c>
      <c r="O102" s="42"/>
      <c r="P102" s="48" t="s">
        <v>171</v>
      </c>
    </row>
    <row r="103" ht="15" customHeight="1" spans="1:16">
      <c r="A103" s="49"/>
      <c r="B103" s="50"/>
      <c r="C103" s="50"/>
      <c r="D103" s="12"/>
      <c r="E103" s="12"/>
      <c r="F103" s="12"/>
      <c r="G103" s="12"/>
      <c r="H103" s="51"/>
      <c r="I103" s="51"/>
      <c r="J103" s="52"/>
      <c r="K103" s="50"/>
      <c r="L103" s="50"/>
      <c r="M103" s="50"/>
      <c r="N103" s="50"/>
      <c r="O103" s="50"/>
      <c r="P103" s="16"/>
    </row>
    <row r="104" ht="8.25" customHeight="1" spans="1:16">
      <c r="A104" s="53"/>
      <c r="B104" s="54"/>
      <c r="C104" s="55"/>
      <c r="D104" s="54"/>
      <c r="E104" s="55"/>
      <c r="F104" s="56"/>
      <c r="G104" s="56"/>
      <c r="H104" s="57"/>
      <c r="I104" s="54"/>
      <c r="J104" s="56"/>
      <c r="K104" s="54"/>
      <c r="L104" s="54"/>
      <c r="M104" s="54"/>
      <c r="N104" s="54"/>
      <c r="O104" s="55"/>
      <c r="P104" s="58"/>
    </row>
    <row r="105" ht="11.25" customHeight="1" spans="1:16">
      <c r="A105" s="59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1"/>
    </row>
    <row r="106" ht="11.25" customHeight="1" spans="1:16">
      <c r="A106" s="62" t="s">
        <v>295</v>
      </c>
      <c r="B106" s="18"/>
      <c r="C106" s="63" t="s">
        <v>296</v>
      </c>
      <c r="D106" s="18"/>
      <c r="E106" s="64" t="s">
        <v>297</v>
      </c>
      <c r="F106" s="18"/>
      <c r="G106" s="65" t="s">
        <v>298</v>
      </c>
      <c r="H106" s="18"/>
      <c r="I106" s="18"/>
      <c r="J106" s="18"/>
      <c r="K106" s="18"/>
      <c r="L106" s="19"/>
      <c r="M106" s="66" t="s">
        <v>299</v>
      </c>
      <c r="N106" s="18"/>
      <c r="O106" s="67"/>
      <c r="P106" s="68"/>
    </row>
    <row r="107" ht="11.25" customHeight="1" spans="1:16">
      <c r="A107" s="69"/>
      <c r="C107" s="70"/>
      <c r="D107" s="70"/>
      <c r="E107" s="70"/>
      <c r="F107" s="70"/>
      <c r="G107" s="70"/>
      <c r="H107" s="70"/>
      <c r="I107" s="70"/>
      <c r="J107" s="70"/>
      <c r="K107" s="70"/>
      <c r="L107" s="71"/>
      <c r="M107" s="72"/>
      <c r="N107" s="70"/>
      <c r="O107" s="70"/>
      <c r="P107" s="73"/>
    </row>
    <row r="108" ht="15" customHeight="1" spans="1:16">
      <c r="A108" s="74" t="s">
        <v>300</v>
      </c>
      <c r="B108" s="3"/>
      <c r="C108" s="75"/>
      <c r="D108" s="75"/>
      <c r="E108" s="75"/>
      <c r="F108" s="75"/>
      <c r="G108" s="75"/>
      <c r="H108" s="76" t="s">
        <v>301</v>
      </c>
      <c r="I108" s="3"/>
      <c r="J108" s="3"/>
      <c r="K108" s="3"/>
      <c r="L108" s="77"/>
      <c r="M108" s="78"/>
      <c r="N108" s="75"/>
      <c r="O108" s="75"/>
      <c r="P108" s="79"/>
    </row>
  </sheetData>
  <mergeCells count="578">
    <mergeCell ref="A4:D4"/>
    <mergeCell ref="E4:G4"/>
    <mergeCell ref="H4:I4"/>
    <mergeCell ref="O4:P4"/>
    <mergeCell ref="A5:D5"/>
    <mergeCell ref="E5:G5"/>
    <mergeCell ref="H5:J5"/>
    <mergeCell ref="K5:M5"/>
    <mergeCell ref="N5:P5"/>
    <mergeCell ref="A6:D6"/>
    <mergeCell ref="E6:G6"/>
    <mergeCell ref="H6:J6"/>
    <mergeCell ref="K6:M6"/>
    <mergeCell ref="N6:P6"/>
    <mergeCell ref="A7:D7"/>
    <mergeCell ref="E7:G7"/>
    <mergeCell ref="H7:J7"/>
    <mergeCell ref="K7:P7"/>
    <mergeCell ref="A8:D8"/>
    <mergeCell ref="E8:G8"/>
    <mergeCell ref="H8:J8"/>
    <mergeCell ref="K8:P8"/>
    <mergeCell ref="A9:D9"/>
    <mergeCell ref="E9:G9"/>
    <mergeCell ref="H9:J9"/>
    <mergeCell ref="K9:P9"/>
    <mergeCell ref="A10:D10"/>
    <mergeCell ref="E10:G10"/>
    <mergeCell ref="H10:J10"/>
    <mergeCell ref="K10:P10"/>
    <mergeCell ref="A11:D11"/>
    <mergeCell ref="E11:G11"/>
    <mergeCell ref="H11:J11"/>
    <mergeCell ref="K11:M11"/>
    <mergeCell ref="N11:P11"/>
    <mergeCell ref="A12:D12"/>
    <mergeCell ref="E12:G12"/>
    <mergeCell ref="H12:J12"/>
    <mergeCell ref="K12:M12"/>
    <mergeCell ref="N12:P12"/>
    <mergeCell ref="A13:D13"/>
    <mergeCell ref="F13:G13"/>
    <mergeCell ref="H13:I13"/>
    <mergeCell ref="K13:L13"/>
    <mergeCell ref="M13:N13"/>
    <mergeCell ref="O13:P13"/>
    <mergeCell ref="A14:D14"/>
    <mergeCell ref="F14:G14"/>
    <mergeCell ref="H14:I14"/>
    <mergeCell ref="K14:L14"/>
    <mergeCell ref="M14:N14"/>
    <mergeCell ref="O14:P14"/>
    <mergeCell ref="A15:P15"/>
    <mergeCell ref="A16:P16"/>
    <mergeCell ref="A17:P17"/>
    <mergeCell ref="A18:P18"/>
    <mergeCell ref="B19:C19"/>
    <mergeCell ref="D19:G19"/>
    <mergeCell ref="H19:I19"/>
    <mergeCell ref="J19:K19"/>
    <mergeCell ref="N19:O19"/>
    <mergeCell ref="B104:C104"/>
    <mergeCell ref="D104:E104"/>
    <mergeCell ref="N104:O104"/>
    <mergeCell ref="A105:P105"/>
    <mergeCell ref="A106:B106"/>
    <mergeCell ref="C106:D106"/>
    <mergeCell ref="E106:F106"/>
    <mergeCell ref="G106:L106"/>
    <mergeCell ref="M106:N106"/>
    <mergeCell ref="A107:B107"/>
    <mergeCell ref="A108:B108"/>
    <mergeCell ref="H108:L108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62:D63"/>
    <mergeCell ref="D64:D65"/>
    <mergeCell ref="D66:D67"/>
    <mergeCell ref="D68:D69"/>
    <mergeCell ref="D70:D71"/>
    <mergeCell ref="D72:D73"/>
    <mergeCell ref="D74:D75"/>
    <mergeCell ref="D76:D77"/>
    <mergeCell ref="D78:D79"/>
    <mergeCell ref="D80:D81"/>
    <mergeCell ref="D82:D83"/>
    <mergeCell ref="D84:D85"/>
    <mergeCell ref="D86:D87"/>
    <mergeCell ref="D88:D89"/>
    <mergeCell ref="D90:D91"/>
    <mergeCell ref="D92:D93"/>
    <mergeCell ref="D94:D95"/>
    <mergeCell ref="D96:D97"/>
    <mergeCell ref="D98:D99"/>
    <mergeCell ref="D100:D101"/>
    <mergeCell ref="D102:D103"/>
    <mergeCell ref="G20:G21"/>
    <mergeCell ref="G22:G23"/>
    <mergeCell ref="G24:G25"/>
    <mergeCell ref="G26:G27"/>
    <mergeCell ref="G28:G29"/>
    <mergeCell ref="G30:G31"/>
    <mergeCell ref="G32:G33"/>
    <mergeCell ref="G34:G35"/>
    <mergeCell ref="G36:G37"/>
    <mergeCell ref="G38:G39"/>
    <mergeCell ref="G40:G41"/>
    <mergeCell ref="G42:G43"/>
    <mergeCell ref="G44:G45"/>
    <mergeCell ref="G46:G47"/>
    <mergeCell ref="G48:G49"/>
    <mergeCell ref="G50:G51"/>
    <mergeCell ref="G52:G53"/>
    <mergeCell ref="G54:G55"/>
    <mergeCell ref="G56:G57"/>
    <mergeCell ref="G58:G59"/>
    <mergeCell ref="G60:G61"/>
    <mergeCell ref="G62:G63"/>
    <mergeCell ref="G64:G65"/>
    <mergeCell ref="G66:G67"/>
    <mergeCell ref="G68:G69"/>
    <mergeCell ref="G70:G71"/>
    <mergeCell ref="G72:G73"/>
    <mergeCell ref="G74:G75"/>
    <mergeCell ref="G76:G77"/>
    <mergeCell ref="G78:G79"/>
    <mergeCell ref="G80:G81"/>
    <mergeCell ref="G82:G83"/>
    <mergeCell ref="G84:G85"/>
    <mergeCell ref="G86:G87"/>
    <mergeCell ref="G88:G89"/>
    <mergeCell ref="G90:G91"/>
    <mergeCell ref="G92:G93"/>
    <mergeCell ref="G94:G95"/>
    <mergeCell ref="G96:G97"/>
    <mergeCell ref="G98:G99"/>
    <mergeCell ref="G100:G101"/>
    <mergeCell ref="G102:G103"/>
    <mergeCell ref="H20:H21"/>
    <mergeCell ref="H22:H23"/>
    <mergeCell ref="H24:H25"/>
    <mergeCell ref="H26:H27"/>
    <mergeCell ref="H28:H29"/>
    <mergeCell ref="H30:H31"/>
    <mergeCell ref="H32:H33"/>
    <mergeCell ref="H34:H35"/>
    <mergeCell ref="H36:H37"/>
    <mergeCell ref="H38:H39"/>
    <mergeCell ref="H40:H41"/>
    <mergeCell ref="H42:H43"/>
    <mergeCell ref="H44:H45"/>
    <mergeCell ref="H46:H47"/>
    <mergeCell ref="H48:H49"/>
    <mergeCell ref="H50:H51"/>
    <mergeCell ref="H52:H53"/>
    <mergeCell ref="H54:H55"/>
    <mergeCell ref="H56:H57"/>
    <mergeCell ref="H58:H59"/>
    <mergeCell ref="H60:H61"/>
    <mergeCell ref="H62:H63"/>
    <mergeCell ref="H64:H65"/>
    <mergeCell ref="H66:H67"/>
    <mergeCell ref="H68:H69"/>
    <mergeCell ref="H70:H71"/>
    <mergeCell ref="H72:H73"/>
    <mergeCell ref="H74:H75"/>
    <mergeCell ref="H76:H77"/>
    <mergeCell ref="H78:H79"/>
    <mergeCell ref="H80:H81"/>
    <mergeCell ref="H82:H83"/>
    <mergeCell ref="H84:H85"/>
    <mergeCell ref="H86:H87"/>
    <mergeCell ref="H88:H89"/>
    <mergeCell ref="H90:H91"/>
    <mergeCell ref="H92:H93"/>
    <mergeCell ref="H94:H95"/>
    <mergeCell ref="H96:H97"/>
    <mergeCell ref="H98:H99"/>
    <mergeCell ref="H100:H101"/>
    <mergeCell ref="H102:H103"/>
    <mergeCell ref="I20:I21"/>
    <mergeCell ref="I22:I23"/>
    <mergeCell ref="I24:I25"/>
    <mergeCell ref="I26:I27"/>
    <mergeCell ref="I28:I29"/>
    <mergeCell ref="I30:I31"/>
    <mergeCell ref="I32:I33"/>
    <mergeCell ref="I34:I35"/>
    <mergeCell ref="I36:I37"/>
    <mergeCell ref="I38:I39"/>
    <mergeCell ref="I40:I41"/>
    <mergeCell ref="I42:I43"/>
    <mergeCell ref="I44:I45"/>
    <mergeCell ref="I46:I47"/>
    <mergeCell ref="I48:I49"/>
    <mergeCell ref="I50:I51"/>
    <mergeCell ref="I52:I53"/>
    <mergeCell ref="I54:I55"/>
    <mergeCell ref="I56:I57"/>
    <mergeCell ref="I58:I59"/>
    <mergeCell ref="I60:I61"/>
    <mergeCell ref="I62:I63"/>
    <mergeCell ref="I64:I65"/>
    <mergeCell ref="I66:I67"/>
    <mergeCell ref="I68:I69"/>
    <mergeCell ref="I70:I71"/>
    <mergeCell ref="I72:I73"/>
    <mergeCell ref="I74:I75"/>
    <mergeCell ref="I76:I77"/>
    <mergeCell ref="I78:I79"/>
    <mergeCell ref="I80:I81"/>
    <mergeCell ref="I82:I83"/>
    <mergeCell ref="I84:I85"/>
    <mergeCell ref="I86:I87"/>
    <mergeCell ref="I88:I89"/>
    <mergeCell ref="I90:I91"/>
    <mergeCell ref="I92:I93"/>
    <mergeCell ref="I94:I95"/>
    <mergeCell ref="I96:I97"/>
    <mergeCell ref="I98:I99"/>
    <mergeCell ref="I100:I101"/>
    <mergeCell ref="I102:I103"/>
    <mergeCell ref="K20:K21"/>
    <mergeCell ref="K22:K23"/>
    <mergeCell ref="K24:K25"/>
    <mergeCell ref="K26:K27"/>
    <mergeCell ref="K28:K29"/>
    <mergeCell ref="K30:K31"/>
    <mergeCell ref="K32:K33"/>
    <mergeCell ref="K34:K35"/>
    <mergeCell ref="K36:K37"/>
    <mergeCell ref="K38:K39"/>
    <mergeCell ref="K40:K41"/>
    <mergeCell ref="K42:K43"/>
    <mergeCell ref="K44:K45"/>
    <mergeCell ref="K46:K47"/>
    <mergeCell ref="K48:K49"/>
    <mergeCell ref="K50:K51"/>
    <mergeCell ref="K52:K53"/>
    <mergeCell ref="K54:K55"/>
    <mergeCell ref="K56:K57"/>
    <mergeCell ref="K58:K59"/>
    <mergeCell ref="K60:K61"/>
    <mergeCell ref="K62:K63"/>
    <mergeCell ref="K64:K65"/>
    <mergeCell ref="K66:K67"/>
    <mergeCell ref="K68:K69"/>
    <mergeCell ref="K70:K71"/>
    <mergeCell ref="K72:K73"/>
    <mergeCell ref="K74:K75"/>
    <mergeCell ref="K76:K77"/>
    <mergeCell ref="K78:K79"/>
    <mergeCell ref="K80:K81"/>
    <mergeCell ref="K82:K83"/>
    <mergeCell ref="K84:K85"/>
    <mergeCell ref="K86:K87"/>
    <mergeCell ref="K88:K89"/>
    <mergeCell ref="K90:K91"/>
    <mergeCell ref="K92:K93"/>
    <mergeCell ref="K94:K95"/>
    <mergeCell ref="K96:K97"/>
    <mergeCell ref="K98:K99"/>
    <mergeCell ref="K100:K101"/>
    <mergeCell ref="K102:K103"/>
    <mergeCell ref="L20:L21"/>
    <mergeCell ref="L22:L23"/>
    <mergeCell ref="L24:L25"/>
    <mergeCell ref="L26:L27"/>
    <mergeCell ref="L28:L29"/>
    <mergeCell ref="L30:L31"/>
    <mergeCell ref="L32:L33"/>
    <mergeCell ref="L34:L35"/>
    <mergeCell ref="L36:L37"/>
    <mergeCell ref="L38:L39"/>
    <mergeCell ref="L40:L41"/>
    <mergeCell ref="L42:L43"/>
    <mergeCell ref="L44:L45"/>
    <mergeCell ref="L46:L47"/>
    <mergeCell ref="L48:L49"/>
    <mergeCell ref="L50:L51"/>
    <mergeCell ref="L52:L53"/>
    <mergeCell ref="L54:L55"/>
    <mergeCell ref="L56:L57"/>
    <mergeCell ref="L58:L59"/>
    <mergeCell ref="L60:L61"/>
    <mergeCell ref="L62:L63"/>
    <mergeCell ref="L64:L65"/>
    <mergeCell ref="L66:L67"/>
    <mergeCell ref="L68:L69"/>
    <mergeCell ref="L70:L71"/>
    <mergeCell ref="L72:L73"/>
    <mergeCell ref="L74:L75"/>
    <mergeCell ref="L76:L77"/>
    <mergeCell ref="L78:L79"/>
    <mergeCell ref="L80:L81"/>
    <mergeCell ref="L82:L83"/>
    <mergeCell ref="L84:L85"/>
    <mergeCell ref="L86:L87"/>
    <mergeCell ref="L88:L89"/>
    <mergeCell ref="L90:L91"/>
    <mergeCell ref="L92:L93"/>
    <mergeCell ref="L94:L95"/>
    <mergeCell ref="L96:L97"/>
    <mergeCell ref="L98:L99"/>
    <mergeCell ref="L100:L101"/>
    <mergeCell ref="L102:L103"/>
    <mergeCell ref="M20:M21"/>
    <mergeCell ref="M22:M23"/>
    <mergeCell ref="M24:M25"/>
    <mergeCell ref="M26:M27"/>
    <mergeCell ref="M28:M29"/>
    <mergeCell ref="M30:M31"/>
    <mergeCell ref="M32:M33"/>
    <mergeCell ref="M34:M35"/>
    <mergeCell ref="M36:M37"/>
    <mergeCell ref="M38:M39"/>
    <mergeCell ref="M40:M41"/>
    <mergeCell ref="M42:M43"/>
    <mergeCell ref="M44:M45"/>
    <mergeCell ref="M46:M47"/>
    <mergeCell ref="M48:M49"/>
    <mergeCell ref="M50:M51"/>
    <mergeCell ref="M52:M53"/>
    <mergeCell ref="M54:M55"/>
    <mergeCell ref="M56:M57"/>
    <mergeCell ref="M58:M59"/>
    <mergeCell ref="M60:M61"/>
    <mergeCell ref="M62:M63"/>
    <mergeCell ref="M64:M65"/>
    <mergeCell ref="M66:M67"/>
    <mergeCell ref="M68:M69"/>
    <mergeCell ref="M70:M71"/>
    <mergeCell ref="M72:M73"/>
    <mergeCell ref="M74:M75"/>
    <mergeCell ref="M76:M77"/>
    <mergeCell ref="M78:M79"/>
    <mergeCell ref="M80:M81"/>
    <mergeCell ref="M82:M83"/>
    <mergeCell ref="M84:M85"/>
    <mergeCell ref="M86:M87"/>
    <mergeCell ref="M88:M89"/>
    <mergeCell ref="M90:M91"/>
    <mergeCell ref="M92:M93"/>
    <mergeCell ref="M94:M95"/>
    <mergeCell ref="M96:M97"/>
    <mergeCell ref="M98:M99"/>
    <mergeCell ref="M100:M101"/>
    <mergeCell ref="M102:M103"/>
    <mergeCell ref="P20:P21"/>
    <mergeCell ref="P22:P23"/>
    <mergeCell ref="P24:P25"/>
    <mergeCell ref="P26:P27"/>
    <mergeCell ref="P28:P29"/>
    <mergeCell ref="P30:P31"/>
    <mergeCell ref="P32:P33"/>
    <mergeCell ref="P34:P35"/>
    <mergeCell ref="P36:P37"/>
    <mergeCell ref="P38:P39"/>
    <mergeCell ref="P40:P41"/>
    <mergeCell ref="P42:P43"/>
    <mergeCell ref="P44:P45"/>
    <mergeCell ref="P46:P47"/>
    <mergeCell ref="P48:P49"/>
    <mergeCell ref="P50:P51"/>
    <mergeCell ref="P52:P53"/>
    <mergeCell ref="P54:P55"/>
    <mergeCell ref="P56:P57"/>
    <mergeCell ref="P58:P59"/>
    <mergeCell ref="P60:P61"/>
    <mergeCell ref="P62:P63"/>
    <mergeCell ref="P64:P65"/>
    <mergeCell ref="P66:P67"/>
    <mergeCell ref="P68:P69"/>
    <mergeCell ref="P70:P71"/>
    <mergeCell ref="P72:P73"/>
    <mergeCell ref="P74:P75"/>
    <mergeCell ref="P76:P77"/>
    <mergeCell ref="P78:P79"/>
    <mergeCell ref="P80:P81"/>
    <mergeCell ref="P82:P83"/>
    <mergeCell ref="P84:P85"/>
    <mergeCell ref="P86:P87"/>
    <mergeCell ref="P88:P89"/>
    <mergeCell ref="P90:P91"/>
    <mergeCell ref="P92:P93"/>
    <mergeCell ref="P94:P95"/>
    <mergeCell ref="P96:P97"/>
    <mergeCell ref="P98:P99"/>
    <mergeCell ref="P100:P101"/>
    <mergeCell ref="P102:P103"/>
    <mergeCell ref="B44:C45"/>
    <mergeCell ref="N44:O45"/>
    <mergeCell ref="E80:F81"/>
    <mergeCell ref="B72:C73"/>
    <mergeCell ref="N72:O73"/>
    <mergeCell ref="B54:C55"/>
    <mergeCell ref="N54:O55"/>
    <mergeCell ref="B56:C57"/>
    <mergeCell ref="N56:O57"/>
    <mergeCell ref="E20:F21"/>
    <mergeCell ref="E84:F85"/>
    <mergeCell ref="B88:C89"/>
    <mergeCell ref="N88:O89"/>
    <mergeCell ref="E28:F29"/>
    <mergeCell ref="B98:C99"/>
    <mergeCell ref="N98:O99"/>
    <mergeCell ref="E86:F87"/>
    <mergeCell ref="E30:F31"/>
    <mergeCell ref="B20:C21"/>
    <mergeCell ref="N20:O21"/>
    <mergeCell ref="B22:C23"/>
    <mergeCell ref="N22:O23"/>
    <mergeCell ref="E34:F35"/>
    <mergeCell ref="B62:C63"/>
    <mergeCell ref="N62:O63"/>
    <mergeCell ref="B38:C39"/>
    <mergeCell ref="N38:O39"/>
    <mergeCell ref="E74:F75"/>
    <mergeCell ref="B64:C65"/>
    <mergeCell ref="N64:O65"/>
    <mergeCell ref="E76:F77"/>
    <mergeCell ref="E36:F37"/>
    <mergeCell ref="B40:C41"/>
    <mergeCell ref="N40:O41"/>
    <mergeCell ref="E100:F101"/>
    <mergeCell ref="E102:F103"/>
    <mergeCell ref="B86:C87"/>
    <mergeCell ref="N86:O87"/>
    <mergeCell ref="B58:C59"/>
    <mergeCell ref="N58:O59"/>
    <mergeCell ref="B52:C53"/>
    <mergeCell ref="N52:O53"/>
    <mergeCell ref="E26:F27"/>
    <mergeCell ref="E50:F51"/>
    <mergeCell ref="B80:C81"/>
    <mergeCell ref="N80:O81"/>
    <mergeCell ref="E32:F33"/>
    <mergeCell ref="B84:C85"/>
    <mergeCell ref="N84:O85"/>
    <mergeCell ref="B78:C79"/>
    <mergeCell ref="N78:O79"/>
    <mergeCell ref="B28:C29"/>
    <mergeCell ref="N28:O29"/>
    <mergeCell ref="B30:C31"/>
    <mergeCell ref="N30:O31"/>
    <mergeCell ref="B94:C95"/>
    <mergeCell ref="N94:O95"/>
    <mergeCell ref="E58:F59"/>
    <mergeCell ref="E52:F53"/>
    <mergeCell ref="E60:F61"/>
    <mergeCell ref="E70:F71"/>
    <mergeCell ref="B74:C75"/>
    <mergeCell ref="N74:O75"/>
    <mergeCell ref="B36:C37"/>
    <mergeCell ref="N36:O37"/>
    <mergeCell ref="E48:F49"/>
    <mergeCell ref="B100:C101"/>
    <mergeCell ref="N100:O101"/>
    <mergeCell ref="B70:C71"/>
    <mergeCell ref="N70:O71"/>
    <mergeCell ref="B102:C103"/>
    <mergeCell ref="N102:O103"/>
    <mergeCell ref="B34:C35"/>
    <mergeCell ref="N34:O35"/>
    <mergeCell ref="B76:C77"/>
    <mergeCell ref="N76:O77"/>
    <mergeCell ref="B26:C27"/>
    <mergeCell ref="N26:O27"/>
    <mergeCell ref="E92:F93"/>
    <mergeCell ref="B42:C43"/>
    <mergeCell ref="N42:O43"/>
    <mergeCell ref="B24:C25"/>
    <mergeCell ref="N24:O25"/>
    <mergeCell ref="E82:F83"/>
    <mergeCell ref="B50:C51"/>
    <mergeCell ref="N50:O51"/>
    <mergeCell ref="B96:C97"/>
    <mergeCell ref="N96:O97"/>
    <mergeCell ref="E94:F95"/>
    <mergeCell ref="B68:C69"/>
    <mergeCell ref="N68:O69"/>
    <mergeCell ref="B92:C93"/>
    <mergeCell ref="N92:O93"/>
    <mergeCell ref="B32:C33"/>
    <mergeCell ref="N32:O33"/>
    <mergeCell ref="E42:F43"/>
    <mergeCell ref="B46:C47"/>
    <mergeCell ref="N46:O47"/>
    <mergeCell ref="E44:F45"/>
    <mergeCell ref="B60:C61"/>
    <mergeCell ref="N60:O61"/>
    <mergeCell ref="E72:F73"/>
    <mergeCell ref="E24:F25"/>
    <mergeCell ref="E96:F97"/>
    <mergeCell ref="E88:F89"/>
    <mergeCell ref="E98:F99"/>
    <mergeCell ref="B48:C49"/>
    <mergeCell ref="N48:O49"/>
    <mergeCell ref="E22:F23"/>
    <mergeCell ref="B66:C67"/>
    <mergeCell ref="N66:O67"/>
    <mergeCell ref="B90:C91"/>
    <mergeCell ref="N90:O91"/>
    <mergeCell ref="E38:F39"/>
    <mergeCell ref="E46:F47"/>
    <mergeCell ref="E40:F41"/>
    <mergeCell ref="E54:F55"/>
    <mergeCell ref="B82:C83"/>
    <mergeCell ref="N82:O83"/>
    <mergeCell ref="E66:F67"/>
    <mergeCell ref="E68:F69"/>
    <mergeCell ref="A1:P3"/>
    <mergeCell ref="E62:F63"/>
    <mergeCell ref="E56:F57"/>
    <mergeCell ref="E90:F91"/>
    <mergeCell ref="E64:F65"/>
    <mergeCell ref="E78:F79"/>
  </mergeCells>
  <printOptions horizontalCentered="1"/>
  <pageMargins left="0.118110236220472" right="0.118110236220472" top="0.196850393700787" bottom="0.15748031496063" header="0.31496062992126" footer="0.31496062992126"/>
  <pageSetup paperSize="9" scale="9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装箱清单</vt:lpstr>
      <vt:lpstr>发票</vt:lpstr>
      <vt:lpstr>申报要素</vt:lpstr>
      <vt:lpstr>销货确认书</vt:lpstr>
      <vt:lpstr>报关单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</dc:creator>
  <cp:lastModifiedBy>_繁紮~黎晨~</cp:lastModifiedBy>
  <dcterms:created xsi:type="dcterms:W3CDTF">2005-10-28T01:37:00Z</dcterms:created>
  <cp:lastPrinted>2025-01-20T09:07:00Z</cp:lastPrinted>
  <dcterms:modified xsi:type="dcterms:W3CDTF">2026-10-23T10:15:12Z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47CFD9D3447F4C8C8936009655F033E0_13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