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\Documents\deepseek-harness\default-workspace\repo\data\outputs\"/>
    </mc:Choice>
  </mc:AlternateContent>
  <bookViews>
    <workbookView windowWidth="28800" windowHeight="12375"/>
  </bookViews>
  <sheets>
    <sheet name="装箱清单" sheetId="1" r:id="rId1"/>
    <sheet name="发票" sheetId="2" r:id="rId2"/>
    <sheet name="申报要素" sheetId="3" r:id="rId3"/>
    <sheet name="销货确认书" sheetId="4" r:id="rId4"/>
    <sheet name="报关单 " sheetId="5" r:id="rId5"/>
  </sheets>
  <definedNames>
    <definedName name="_xlnm.Print_Area" localSheetId="0">装箱清单!$A$1:$N$17</definedName>
    <definedName name="_xlnm.Print_Area" localSheetId="1">发票!$A$1:$J$21</definedName>
    <definedName name="_xlnm.Print_Area" localSheetId="2">申报要素!$A$1:$K$16</definedName>
    <definedName name="_xlnm.Print_Area" localSheetId="3">销货确认书!$A$1:$H$51</definedName>
    <definedName name="_xlnm.Print_Area" localSheetId="4">'报关单 '!$A$1:$P$46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<sst xmlns="http://schemas.openxmlformats.org/spreadsheetml/2006/main" count="510" uniqueCount="185">
  <si>
    <t>PACKING   LIST
装  箱  清  单</t>
  </si>
  <si>
    <t>To：</t>
  </si>
  <si>
    <t>Company: Mekas Automotive Contact: Canice Ugwumba ADD: 186 pacific drive Booral QLD 4655. Australia. TEL: +61406903360 EMAIL: canice.ugwumba@yahoo.com</t>
  </si>
  <si>
    <t>NO.</t>
  </si>
  <si>
    <t>PRODUCT PICTURES
产品图片</t>
  </si>
  <si>
    <t>DESCRIPTION</t>
  </si>
  <si>
    <t>HS CODE
海关编码</t>
  </si>
  <si>
    <t>Materials
材质</t>
  </si>
  <si>
    <t>QUANTITY
箱数</t>
  </si>
  <si>
    <t>Number of pieces
每箱件数</t>
  </si>
  <si>
    <t>Out packing size &amp;Volum
外箱尺寸和方数</t>
  </si>
  <si>
    <t>Weight
毛重(KGS)</t>
  </si>
  <si>
    <t>Packing Type
包装类型</t>
  </si>
  <si>
    <t>英文品名</t>
  </si>
  <si>
    <t>中文品名</t>
  </si>
  <si>
    <t>L</t>
  </si>
  <si>
    <t>M</t>
  </si>
  <si>
    <t>H</t>
  </si>
  <si>
    <t>CBM</t>
  </si>
  <si>
    <t xml:space="preserve"> G.W.</t>
  </si>
  <si>
    <t>KUBOTA EXCAVATOR</t>
  </si>
  <si>
    <t>8429521990</t>
  </si>
  <si>
    <t/>
  </si>
  <si>
    <t>纸箱包装</t>
  </si>
  <si>
    <t>200MM BUCKET</t>
  </si>
  <si>
    <t>8431410000</t>
  </si>
  <si>
    <t>1200MM BUCKET</t>
  </si>
  <si>
    <t>RIPPER</t>
  </si>
  <si>
    <t>8431499900</t>
  </si>
  <si>
    <t>AUGER</t>
  </si>
  <si>
    <t>FORK</t>
  </si>
  <si>
    <t>二手挖掘机</t>
  </si>
  <si>
    <t>挖斗</t>
  </si>
  <si>
    <t>松土器</t>
  </si>
  <si>
    <t>螺旋钻</t>
  </si>
  <si>
    <t>货叉</t>
  </si>
  <si>
    <t>TOTAL:</t>
  </si>
  <si>
    <t>包装方式：纸箱包装</t>
  </si>
  <si>
    <t>商  业  发  票
 COMMERCIAL INVOICE</t>
  </si>
  <si>
    <t>发 票 号 码    INVOICE NO.</t>
  </si>
  <si>
    <t>合 同 号 码 CONTRACT NO.</t>
  </si>
  <si>
    <t>日 期  DATE</t>
  </si>
  <si>
    <t>海关编码
HS CODE</t>
  </si>
  <si>
    <t>材质Materials</t>
  </si>
  <si>
    <t>外箱数量
Quantity</t>
  </si>
  <si>
    <t>每箱件数
Number of pieces</t>
  </si>
  <si>
    <t xml:space="preserve">
计价件数
Piece
</t>
  </si>
  <si>
    <t>出口金额</t>
  </si>
  <si>
    <t>Unit Price</t>
  </si>
  <si>
    <t>Amont</t>
  </si>
  <si>
    <t>申报要素</t>
  </si>
  <si>
    <t>合同号:</t>
  </si>
  <si>
    <t>目的地:</t>
  </si>
  <si>
    <t>AUSTRALIA</t>
  </si>
  <si>
    <t>日期：</t>
  </si>
  <si>
    <t>序号</t>
  </si>
  <si>
    <t>品牌</t>
  </si>
  <si>
    <t>品名</t>
  </si>
  <si>
    <t>HS code</t>
  </si>
  <si>
    <t>型号</t>
  </si>
  <si>
    <t>材质</t>
  </si>
  <si>
    <t>用途</t>
  </si>
  <si>
    <t>加工工艺</t>
  </si>
  <si>
    <t>适用场景</t>
  </si>
  <si>
    <t>优惠关税</t>
  </si>
  <si>
    <t>产品图</t>
  </si>
  <si>
    <t>ChAFTA 0%</t>
  </si>
  <si>
    <t>销 货 确 认 书</t>
  </si>
  <si>
    <t xml:space="preserve">   SALES CONFIRMATION</t>
  </si>
  <si>
    <t>卖  方 :</t>
  </si>
  <si>
    <t>1</t>
  </si>
  <si>
    <t>NO.:</t>
  </si>
  <si>
    <t>SELLERS :</t>
  </si>
  <si>
    <t>DATE:</t>
  </si>
  <si>
    <t>地  址 :</t>
  </si>
  <si>
    <t>ADD: 186 pacific drive Booral QLD 4655. Australia.</t>
  </si>
  <si>
    <t>SIGNED AT:</t>
  </si>
  <si>
    <t>, CHINA</t>
  </si>
  <si>
    <t>TEL：</t>
  </si>
  <si>
    <t>Email:</t>
  </si>
  <si>
    <t>买  方 ：</t>
  </si>
  <si>
    <t>BUYERS:</t>
  </si>
  <si>
    <t>地  址 ：</t>
  </si>
  <si>
    <t>ADDRESS:</t>
  </si>
  <si>
    <t xml:space="preserve">     兹经买卖双方同意按下列条款成交:</t>
  </si>
  <si>
    <t xml:space="preserve">     The undersigned Sellers and Buyers have agreed to choose the following transactions according to the </t>
  </si>
  <si>
    <t>terms and  Conditions stipulated below:</t>
  </si>
  <si>
    <t>货号</t>
  </si>
  <si>
    <t>品名及规格</t>
  </si>
  <si>
    <t>数  量</t>
  </si>
  <si>
    <t>单  价</t>
  </si>
  <si>
    <t>金  额</t>
  </si>
  <si>
    <t>Description</t>
  </si>
  <si>
    <t>Quantity</t>
  </si>
  <si>
    <t>Amount</t>
  </si>
  <si>
    <t>CIF</t>
  </si>
  <si>
    <t>USD</t>
  </si>
  <si>
    <t>PCS</t>
  </si>
  <si>
    <t>3.包   装:</t>
  </si>
  <si>
    <t>4.装 运 期:</t>
  </si>
  <si>
    <t>Time of Shipment: On or before: ASAP</t>
  </si>
  <si>
    <t>5.装运口岸和目的地:Loading port &amp; Destination：From</t>
  </si>
  <si>
    <t>CHINA To</t>
  </si>
  <si>
    <t>6.保   险:由买方按发票全部金额110%投保至          为止的         险。</t>
  </si>
  <si>
    <t xml:space="preserve">     Insurance. To be affected by Sellers for 110% of full invoice value covering     up to    only.</t>
  </si>
  <si>
    <t>7.付款条件:</t>
  </si>
  <si>
    <t>T/T</t>
  </si>
  <si>
    <t xml:space="preserve">8.装船标记: </t>
  </si>
  <si>
    <t>N/M</t>
  </si>
  <si>
    <t xml:space="preserve">     Shipping mark:</t>
  </si>
  <si>
    <t>9.产  地:</t>
  </si>
  <si>
    <t>中  国</t>
  </si>
  <si>
    <t xml:space="preserve">    The place of origin or production:</t>
  </si>
  <si>
    <t>CHINA</t>
  </si>
  <si>
    <t>10.备  注:</t>
  </si>
  <si>
    <t>Remarks:</t>
  </si>
  <si>
    <t>买   方:</t>
  </si>
  <si>
    <t>卖  方:</t>
  </si>
  <si>
    <t>SELLERS:</t>
  </si>
  <si>
    <t>中华人民共和国海关出口货物报关单</t>
  </si>
  <si>
    <t>预录入编号:</t>
  </si>
  <si>
    <t xml:space="preserve"> 海关编号:</t>
  </si>
  <si>
    <t>(XX海关)</t>
  </si>
  <si>
    <t>页码/页数: 1/1</t>
  </si>
  <si>
    <t xml:space="preserve"> 境内发货人
</t>
  </si>
  <si>
    <t xml:space="preserve"> 出境关别
</t>
  </si>
  <si>
    <t xml:space="preserve"> 出口日期
</t>
  </si>
  <si>
    <t xml:space="preserve"> 申报日期
</t>
  </si>
  <si>
    <t xml:space="preserve"> 备案号
</t>
  </si>
  <si>
    <t xml:space="preserve"> 境外收货人
</t>
  </si>
  <si>
    <t xml:space="preserve"> 运输方式
</t>
  </si>
  <si>
    <t xml:space="preserve"> 运输工具名称及航次号
</t>
  </si>
  <si>
    <t xml:space="preserve"> 提运单号
</t>
  </si>
  <si>
    <t>海运</t>
  </si>
  <si>
    <t xml:space="preserve"> 生产销售单位
</t>
  </si>
  <si>
    <t xml:space="preserve"> 监管方式
</t>
  </si>
  <si>
    <t xml:space="preserve"> 征免性质
</t>
  </si>
  <si>
    <t xml:space="preserve"> 许可证号
</t>
  </si>
  <si>
    <t>一般贸易</t>
  </si>
  <si>
    <t>一般征税</t>
  </si>
  <si>
    <t xml:space="preserve"> 合同协议号
</t>
  </si>
  <si>
    <t xml:space="preserve"> 贸易国(地区)
</t>
  </si>
  <si>
    <t xml:space="preserve"> 运抵国(地区)
</t>
  </si>
  <si>
    <t xml:space="preserve"> 指运港
</t>
  </si>
  <si>
    <t xml:space="preserve"> 离境口岸
</t>
  </si>
  <si>
    <t>澳大利亚</t>
  </si>
  <si>
    <t>MELBOURNE</t>
  </si>
  <si>
    <t>天津</t>
  </si>
  <si>
    <t xml:space="preserve"> 包装种类
</t>
  </si>
  <si>
    <t xml:space="preserve"> 件数
</t>
  </si>
  <si>
    <t xml:space="preserve"> 毛重(千克)
</t>
  </si>
  <si>
    <t xml:space="preserve"> 净重(千克)
</t>
  </si>
  <si>
    <t xml:space="preserve"> 成交方式
</t>
  </si>
  <si>
    <t xml:space="preserve"> 运费
</t>
  </si>
  <si>
    <t xml:space="preserve"> 保费
</t>
  </si>
  <si>
    <t xml:space="preserve"> 杂费
</t>
  </si>
  <si>
    <t>纸箱</t>
  </si>
  <si>
    <t>EXW</t>
  </si>
  <si>
    <t xml:space="preserve"> 随附单证及编号
</t>
  </si>
  <si>
    <t>发票、装箱单、合同</t>
  </si>
  <si>
    <t xml:space="preserve"> 标记唛码及备注 </t>
  </si>
  <si>
    <t xml:space="preserve"> 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</si>
  <si>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</si>
  <si>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</si>
  <si>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</si>
  <si>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</si>
  <si>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</si>
  <si>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</si>
  <si>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</si>
  <si>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</si>
  <si>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>5300.0 USD</t>
  </si>
  <si>
    <t>中国</t>
  </si>
  <si>
    <t>150.0 USD</t>
  </si>
  <si>
    <t>450.0 USD</t>
  </si>
  <si>
    <t>120.0 USD</t>
  </si>
  <si>
    <t>600.0 USD</t>
  </si>
  <si>
    <t>200.0 USD</t>
  </si>
  <si>
    <t>0.0 USD</t>
  </si>
  <si>
    <t xml:space="preserve"> 报关人员</t>
  </si>
  <si>
    <t>报关人员证号</t>
  </si>
  <si>
    <t>电话</t>
  </si>
  <si>
    <t>兹申明对以上内容承担如实申报、依法纳税之法律责任</t>
  </si>
  <si>
    <t>海关批注及签章</t>
  </si>
  <si>
    <t xml:space="preserve"> 申报单位</t>
  </si>
  <si>
    <t>申报单位（签章）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</si>
</sst>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"/>
    <numFmt numFmtId="178" formatCode="0_);[Red]\(0\)"/>
    <numFmt numFmtId="179" formatCode="0.00_);[Red]\(0.00\)"/>
    <numFmt numFmtId="180" formatCode="0_ "/>
    <numFmt numFmtId="181" formatCode="0.000"/>
  </numFmts>
  <fonts count="78">
    <font>
      <sz val="12"/>
      <name val="宋体"/>
      <charset val="134"/>
    </font>
    <font>
      <b/>
      <sz val="16"/>
      <name val="宋体"/>
      <charset val="134"/>
    </font>
    <font>
      <sz val="8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3"/>
      <name val="宋体"/>
      <charset val="134"/>
    </font>
    <font>
      <sz val="11"/>
      <color indexed="8"/>
      <name val="宋体"/>
      <charset val="134"/>
    </font>
    <font>
      <b/>
      <sz val="11"/>
      <color rgb="FFFF0000"/>
      <name val="宋体"/>
      <charset val="134"/>
    </font>
    <font>
      <sz val="10.5"/>
      <color indexed="8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0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b/>
      <sz val="12"/>
      <color indexed="10"/>
      <name val="宋体"/>
      <charset val="134"/>
    </font>
    <font>
      <sz val="11"/>
      <color theme="1"/>
      <name val="宋体"/>
      <charset val="134"/>
    </font>
    <font>
      <sz val="12"/>
      <color indexed="8"/>
      <name val="Calibri"/>
      <charset val="134"/>
    </font>
    <font>
      <sz val="12"/>
      <color theme="1"/>
      <name val="Calibri"/>
      <charset val="134"/>
    </font>
    <font>
      <sz val="11"/>
      <name val="宋体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b/>
      <sz val="12"/>
      <color indexed="8"/>
      <name val="宋体"/>
      <charset val="134"/>
    </font>
    <font>
      <sz val="10.5"/>
      <name val="宋体"/>
      <charset val="134"/>
    </font>
    <font>
      <sz val="10.5"/>
      <color theme="1"/>
      <name val="宋体"/>
      <charset val="134"/>
    </font>
    <font>
      <b/>
      <sz val="10.5"/>
      <color rgb="FFFF0000"/>
      <name val="宋体"/>
      <charset val="134"/>
    </font>
    <font>
      <sz val="10.5"/>
      <color theme="0"/>
      <name val="宋体"/>
      <charset val="134"/>
    </font>
    <font>
      <b/>
      <sz val="10.5"/>
      <color indexed="8"/>
      <name val="宋体"/>
      <charset val="134"/>
    </font>
    <font>
      <sz val="14"/>
      <color indexed="8"/>
      <name val="宋体"/>
      <charset val="134"/>
    </font>
    <font>
      <b/>
      <sz val="26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2"/>
      <color rgb="FF000000"/>
      <name val="宋体"/>
      <charset val="134"/>
    </font>
    <font>
      <b/>
      <u/>
      <sz val="20"/>
      <color indexed="8"/>
      <name val="宋体"/>
      <charset val="134"/>
    </font>
    <font>
      <sz val="12"/>
      <color rgb="FF000000"/>
      <name val="Calibri"/>
      <charset val="134"/>
    </font>
    <font>
      <sz val="11"/>
      <color theme="0"/>
      <name val="Calibri"/>
      <charset val="134"/>
    </font>
    <font>
      <sz val="14"/>
      <color theme="0"/>
      <name val="Times New Roman"/>
      <charset val="134"/>
    </font>
    <font>
      <b/>
      <sz val="12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Calibri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178">
    <xf numFmtId="0" fontId="0" fillId="0" borderId="0"/>
    <xf numFmtId="43" fontId="42" fillId="0" borderId="0">
      <alignment vertical="center"/>
    </xf>
    <xf numFmtId="44" fontId="42" fillId="0" borderId="0">
      <alignment vertical="center"/>
    </xf>
    <xf numFmtId="9" fontId="42" fillId="0" borderId="0">
      <alignment vertical="center"/>
    </xf>
    <xf numFmtId="41" fontId="42" fillId="0" borderId="0">
      <alignment vertical="center"/>
    </xf>
    <xf numFmtId="42" fontId="42" fillId="0" borderId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0" fontId="42" fillId="3" borderId="5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7" fillId="0" borderId="51">
      <alignment vertical="center"/>
    </xf>
    <xf numFmtId="0" fontId="48" fillId="0" borderId="51">
      <alignment vertical="center"/>
    </xf>
    <xf numFmtId="0" fontId="49" fillId="0" borderId="52">
      <alignment vertical="center"/>
    </xf>
    <xf numFmtId="0" fontId="49" fillId="0" borderId="0">
      <alignment vertical="center"/>
    </xf>
    <xf numFmtId="0" fontId="50" fillId="4" borderId="53">
      <alignment vertical="center"/>
    </xf>
    <xf numFmtId="0" fontId="51" fillId="5" borderId="54">
      <alignment vertical="center"/>
    </xf>
    <xf numFmtId="0" fontId="52" fillId="5" borderId="53">
      <alignment vertical="center"/>
    </xf>
    <xf numFmtId="0" fontId="53" fillId="6" borderId="55">
      <alignment vertical="center"/>
    </xf>
    <xf numFmtId="0" fontId="54" fillId="0" borderId="56">
      <alignment vertical="center"/>
    </xf>
    <xf numFmtId="0" fontId="55" fillId="0" borderId="57">
      <alignment vertical="center"/>
    </xf>
    <xf numFmtId="0" fontId="56" fillId="7" borderId="0">
      <alignment vertical="center"/>
    </xf>
    <xf numFmtId="0" fontId="57" fillId="8" borderId="0">
      <alignment vertical="center"/>
    </xf>
    <xf numFmtId="0" fontId="58" fillId="9" borderId="0">
      <alignment vertical="center"/>
    </xf>
    <xf numFmtId="0" fontId="59" fillId="10" borderId="0">
      <alignment vertical="center"/>
    </xf>
    <xf numFmtId="0" fontId="60" fillId="11" borderId="0">
      <alignment vertical="center"/>
    </xf>
    <xf numFmtId="0" fontId="60" fillId="12" borderId="0">
      <alignment vertical="center"/>
    </xf>
    <xf numFmtId="0" fontId="59" fillId="13" borderId="0">
      <alignment vertical="center"/>
    </xf>
    <xf numFmtId="0" fontId="59" fillId="14" borderId="0">
      <alignment vertical="center"/>
    </xf>
    <xf numFmtId="0" fontId="60" fillId="15" borderId="0">
      <alignment vertical="center"/>
    </xf>
    <xf numFmtId="0" fontId="60" fillId="16" borderId="0">
      <alignment vertical="center"/>
    </xf>
    <xf numFmtId="0" fontId="59" fillId="17" borderId="0">
      <alignment vertical="center"/>
    </xf>
    <xf numFmtId="0" fontId="59" fillId="18" borderId="0">
      <alignment vertical="center"/>
    </xf>
    <xf numFmtId="0" fontId="60" fillId="19" borderId="0">
      <alignment vertical="center"/>
    </xf>
    <xf numFmtId="0" fontId="60" fillId="20" borderId="0">
      <alignment vertical="center"/>
    </xf>
    <xf numFmtId="0" fontId="59" fillId="21" borderId="0">
      <alignment vertical="center"/>
    </xf>
    <xf numFmtId="0" fontId="59" fillId="22" borderId="0">
      <alignment vertical="center"/>
    </xf>
    <xf numFmtId="0" fontId="60" fillId="23" borderId="0">
      <alignment vertical="center"/>
    </xf>
    <xf numFmtId="0" fontId="60" fillId="24" borderId="0">
      <alignment vertical="center"/>
    </xf>
    <xf numFmtId="0" fontId="59" fillId="25" borderId="0">
      <alignment vertical="center"/>
    </xf>
    <xf numFmtId="0" fontId="59" fillId="26" borderId="0">
      <alignment vertical="center"/>
    </xf>
    <xf numFmtId="0" fontId="60" fillId="27" borderId="0">
      <alignment vertical="center"/>
    </xf>
    <xf numFmtId="0" fontId="60" fillId="28" borderId="0">
      <alignment vertical="center"/>
    </xf>
    <xf numFmtId="0" fontId="59" fillId="29" borderId="0">
      <alignment vertical="center"/>
    </xf>
    <xf numFmtId="0" fontId="59" fillId="30" borderId="0">
      <alignment vertical="center"/>
    </xf>
    <xf numFmtId="0" fontId="60" fillId="31" borderId="0">
      <alignment vertical="center"/>
    </xf>
    <xf numFmtId="0" fontId="60" fillId="32" borderId="0">
      <alignment vertical="center"/>
    </xf>
    <xf numFmtId="0" fontId="59" fillId="33" borderId="0">
      <alignment vertical="center"/>
    </xf>
    <xf numFmtId="0" fontId="61" fillId="0" borderId="0"/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0" fillId="0" borderId="0"/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43" fontId="0" fillId="0" borderId="0"/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61" fillId="55" borderId="66">
      <alignment vertical="center"/>
    </xf>
    <xf numFmtId="0" fontId="61" fillId="55" borderId="66">
      <alignment vertical="center"/>
    </xf>
    <xf numFmtId="0" fontId="61" fillId="55" borderId="66">
      <alignment vertical="center"/>
    </xf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7" xfId="0" applyBorder="1"/>
    <xf numFmtId="0" fontId="4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/>
    <xf numFmtId="0" fontId="3" fillId="0" borderId="14" xfId="0" applyFont="1" applyBorder="1" applyAlignment="1">
      <alignment horizontal="left" vertical="top" wrapText="1"/>
    </xf>
    <xf numFmtId="0" fontId="0" fillId="0" borderId="15" xfId="0" applyBorder="1"/>
    <xf numFmtId="0" fontId="0" fillId="0" borderId="16" xfId="0" applyBorder="1"/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vertical="top" wrapText="1"/>
    </xf>
    <xf numFmtId="176" fontId="4" fillId="0" borderId="1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left" vertical="center" wrapText="1"/>
    </xf>
    <xf numFmtId="0" fontId="0" fillId="0" borderId="23" xfId="0" applyBorder="1"/>
    <xf numFmtId="0" fontId="6" fillId="0" borderId="24" xfId="0" applyFont="1" applyBorder="1" applyAlignment="1">
      <alignment vertical="top"/>
    </xf>
    <xf numFmtId="0" fontId="6" fillId="0" borderId="25" xfId="0" applyFont="1" applyBorder="1" applyAlignment="1">
      <alignment horizontal="center" vertical="top"/>
    </xf>
    <xf numFmtId="0" fontId="0" fillId="0" borderId="26" xfId="0" applyBorder="1"/>
    <xf numFmtId="0" fontId="6" fillId="0" borderId="9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1" fontId="7" fillId="0" borderId="28" xfId="0" applyNumberFormat="1" applyFont="1" applyBorder="1" applyAlignment="1">
      <alignment horizontal="center" vertical="center" wrapText="1"/>
    </xf>
    <xf numFmtId="2" fontId="7" fillId="0" borderId="15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1" fontId="0" fillId="0" borderId="32" xfId="0" applyNumberFormat="1" applyBorder="1"/>
    <xf numFmtId="2" fontId="7" fillId="0" borderId="9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4" xfId="0" applyBorder="1"/>
    <xf numFmtId="0" fontId="7" fillId="0" borderId="9" xfId="0" applyFont="1" applyBorder="1" applyAlignment="1">
      <alignment vertical="center"/>
    </xf>
    <xf numFmtId="176" fontId="7" fillId="0" borderId="34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6" fillId="0" borderId="37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5" xfId="0" applyFont="1" applyBorder="1" applyAlignment="1"/>
    <xf numFmtId="0" fontId="2" fillId="0" borderId="19" xfId="0" applyFont="1" applyBorder="1" applyAlignment="1"/>
    <xf numFmtId="0" fontId="6" fillId="0" borderId="39" xfId="0" applyFont="1" applyBorder="1" applyAlignment="1">
      <alignment horizontal="center"/>
    </xf>
    <xf numFmtId="0" fontId="6" fillId="0" borderId="0" xfId="0" applyFont="1" applyAlignment="1"/>
    <xf numFmtId="0" fontId="6" fillId="0" borderId="40" xfId="0" applyFont="1" applyBorder="1" applyAlignment="1"/>
    <xf numFmtId="0" fontId="6" fillId="0" borderId="41" xfId="0" applyFont="1" applyBorder="1" applyAlignment="1"/>
    <xf numFmtId="0" fontId="2" fillId="0" borderId="23" xfId="0" applyFont="1" applyBorder="1" applyAlignment="1"/>
    <xf numFmtId="0" fontId="6" fillId="0" borderId="42" xfId="0" applyFont="1" applyBorder="1" applyAlignment="1">
      <alignment vertical="center"/>
    </xf>
    <xf numFmtId="0" fontId="6" fillId="0" borderId="1" xfId="0" applyFont="1" applyBorder="1" applyAlignment="1"/>
    <xf numFmtId="0" fontId="6" fillId="0" borderId="43" xfId="0" applyFont="1" applyBorder="1" applyAlignment="1">
      <alignment horizontal="left" vertical="center"/>
    </xf>
    <xf numFmtId="0" fontId="0" fillId="0" borderId="43" xfId="0" applyBorder="1"/>
    <xf numFmtId="0" fontId="6" fillId="0" borderId="44" xfId="0" applyFont="1" applyBorder="1" applyAlignment="1"/>
    <xf numFmtId="0" fontId="2" fillId="0" borderId="45" xfId="0" applyFont="1" applyBorder="1" applyAlignment="1"/>
    <xf numFmtId="0" fontId="8" fillId="0" borderId="0" xfId="0" applyFont="1"/>
    <xf numFmtId="178" fontId="8" fillId="0" borderId="0" xfId="0" applyNumberFormat="1" applyFont="1"/>
    <xf numFmtId="49" fontId="8" fillId="0" borderId="0" xfId="0" applyNumberFormat="1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49" fontId="12" fillId="0" borderId="0" xfId="0" applyNumberFormat="1" applyFont="1" applyAlignment="1">
      <alignment horizontal="left"/>
    </xf>
    <xf numFmtId="0" fontId="1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4" fillId="0" borderId="0" xfId="0" applyFont="1"/>
    <xf numFmtId="178" fontId="11" fillId="0" borderId="0" xfId="0" applyNumberFormat="1" applyFont="1"/>
    <xf numFmtId="49" fontId="11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/>
    <xf numFmtId="178" fontId="13" fillId="0" borderId="0" xfId="0" applyNumberFormat="1" applyFont="1"/>
    <xf numFmtId="49" fontId="13" fillId="0" borderId="0" xfId="0" applyNumberFormat="1" applyFont="1"/>
    <xf numFmtId="0" fontId="11" fillId="0" borderId="0" xfId="0" applyFont="1" applyAlignment="1">
      <alignment horizontal="left" vertical="top" wrapText="1"/>
    </xf>
    <xf numFmtId="49" fontId="15" fillId="0" borderId="0" xfId="6" applyNumberFormat="1" applyAlignment="1"/>
    <xf numFmtId="0" fontId="16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78" fontId="16" fillId="0" borderId="0" xfId="0" applyNumberFormat="1" applyFont="1"/>
    <xf numFmtId="49" fontId="16" fillId="0" borderId="0" xfId="0" applyNumberFormat="1" applyFont="1"/>
    <xf numFmtId="0" fontId="7" fillId="0" borderId="0" xfId="0" applyFont="1"/>
    <xf numFmtId="0" fontId="11" fillId="0" borderId="46" xfId="1363" applyFont="1" applyBorder="1" applyAlignment="1">
      <alignment horizontal="center" vertical="center"/>
    </xf>
    <xf numFmtId="0" fontId="0" fillId="0" borderId="47" xfId="0" applyBorder="1"/>
    <xf numFmtId="0" fontId="11" fillId="0" borderId="48" xfId="1363" applyFont="1" applyBorder="1" applyAlignment="1">
      <alignment horizontal="center" vertical="center"/>
    </xf>
    <xf numFmtId="49" fontId="11" fillId="0" borderId="46" xfId="1363" applyNumberFormat="1" applyFont="1" applyBorder="1" applyAlignment="1">
      <alignment horizontal="center" vertical="center"/>
    </xf>
    <xf numFmtId="0" fontId="18" fillId="0" borderId="46" xfId="1363" applyFont="1" applyBorder="1" applyAlignment="1">
      <alignment vertical="center"/>
    </xf>
    <xf numFmtId="0" fontId="11" fillId="0" borderId="47" xfId="1363" applyFont="1" applyBorder="1" applyAlignment="1">
      <alignment horizontal="center" vertical="center"/>
    </xf>
    <xf numFmtId="178" fontId="11" fillId="0" borderId="46" xfId="1363" applyNumberFormat="1" applyFont="1" applyBorder="1"/>
    <xf numFmtId="0" fontId="19" fillId="0" borderId="46" xfId="1363" applyFont="1" applyBorder="1" applyAlignment="1">
      <alignment horizontal="center" vertical="center"/>
    </xf>
    <xf numFmtId="0" fontId="20" fillId="0" borderId="0" xfId="0" applyFont="1"/>
    <xf numFmtId="0" fontId="18" fillId="0" borderId="46" xfId="1363" applyFont="1" applyBorder="1" applyAlignment="1">
      <alignment vertical="center" wrapText="1"/>
    </xf>
    <xf numFmtId="0" fontId="20" fillId="0" borderId="47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1" fontId="23" fillId="0" borderId="46" xfId="1363" applyNumberFormat="1" applyFont="1" applyBorder="1" applyAlignment="1">
      <alignment horizontal="center" vertical="center" wrapText="1"/>
    </xf>
    <xf numFmtId="4" fontId="24" fillId="0" borderId="46" xfId="0" applyNumberFormat="1" applyFont="1" applyBorder="1" applyAlignment="1">
      <alignment horizontal="center" vertical="center" wrapText="1"/>
    </xf>
    <xf numFmtId="0" fontId="25" fillId="0" borderId="0" xfId="0" applyAlignment="1">
      <alignment vertical="center"/>
    </xf>
    <xf numFmtId="0" fontId="17" fillId="2" borderId="0" xfId="0" applyFont="1" applyFill="1" applyAlignment="1">
      <alignment vertical="center"/>
    </xf>
    <xf numFmtId="176" fontId="8" fillId="0" borderId="0" xfId="0" applyNumberFormat="1" applyFont="1" applyAlignment="1"/>
    <xf numFmtId="0" fontId="8" fillId="0" borderId="0" xfId="0" applyFont="1" applyAlignment="1"/>
    <xf numFmtId="179" fontId="11" fillId="0" borderId="0" xfId="1387" applyNumberFormat="1" applyFont="1" applyAlignment="1">
      <alignment vertical="center"/>
    </xf>
    <xf numFmtId="0" fontId="0" fillId="0" borderId="0" xfId="0" applyAlignment="1"/>
    <xf numFmtId="178" fontId="26" fillId="0" borderId="0" xfId="1742" applyNumberFormat="1" applyFont="1" applyAlignment="1">
      <alignment horizontal="center"/>
    </xf>
    <xf numFmtId="179" fontId="26" fillId="0" borderId="0" xfId="1387" applyNumberFormat="1" applyFont="1" applyAlignment="1">
      <alignment horizontal="center"/>
    </xf>
    <xf numFmtId="179" fontId="11" fillId="0" borderId="0" xfId="1387" applyNumberFormat="1" applyFont="1" applyAlignment="1">
      <alignment horizontal="center" vertical="center"/>
    </xf>
    <xf numFmtId="4" fontId="26" fillId="0" borderId="0" xfId="1387" applyNumberFormat="1" applyFont="1" applyAlignment="1">
      <alignment horizontal="center" vertical="center"/>
    </xf>
    <xf numFmtId="176" fontId="0" fillId="0" borderId="0" xfId="0" applyNumberFormat="1" applyAlignment="1"/>
    <xf numFmtId="176" fontId="27" fillId="0" borderId="0" xfId="0" applyNumberFormat="1" applyFont="1" applyAlignment="1"/>
    <xf numFmtId="0" fontId="27" fillId="0" borderId="0" xfId="0" applyFont="1" applyAlignment="1"/>
    <xf numFmtId="0" fontId="13" fillId="0" borderId="0" xfId="0" applyFont="1" applyAlignment="1">
      <alignment vertical="center"/>
    </xf>
    <xf numFmtId="0" fontId="13" fillId="0" borderId="0" xfId="0" applyFont="1" applyAlignment="1"/>
    <xf numFmtId="178" fontId="13" fillId="0" borderId="0" xfId="0" applyNumberFormat="1" applyFont="1" applyAlignment="1"/>
    <xf numFmtId="176" fontId="13" fillId="0" borderId="0" xfId="0" applyNumberFormat="1" applyFont="1" applyAlignment="1"/>
    <xf numFmtId="0" fontId="28" fillId="0" borderId="0" xfId="0" applyFont="1" applyAlignment="1"/>
    <xf numFmtId="14" fontId="29" fillId="0" borderId="0" xfId="0" applyNumberFormat="1" applyFont="1" applyAlignment="1">
      <alignment horizontal="center"/>
    </xf>
    <xf numFmtId="176" fontId="25" fillId="0" borderId="0" xfId="0" applyNumberFormat="1" applyAlignment="1">
      <alignment vertical="center"/>
    </xf>
    <xf numFmtId="178" fontId="1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/>
    <xf numFmtId="0" fontId="30" fillId="0" borderId="0" xfId="0" applyFont="1" applyAlignment="1"/>
    <xf numFmtId="178" fontId="16" fillId="0" borderId="0" xfId="0" applyNumberFormat="1" applyFont="1" applyAlignment="1"/>
    <xf numFmtId="0" fontId="1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49" fontId="13" fillId="0" borderId="0" xfId="0" applyNumberFormat="1" applyFont="1" applyAlignme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0" borderId="9" xfId="0" applyFont="1" applyBorder="1" applyAlignment="1">
      <alignment vertical="center"/>
    </xf>
    <xf numFmtId="0" fontId="11" fillId="0" borderId="9" xfId="0" applyFont="1" applyBorder="1" applyAlignment="1"/>
    <xf numFmtId="49" fontId="11" fillId="0" borderId="9" xfId="0" applyNumberFormat="1" applyFont="1" applyBorder="1" applyAlignment="1"/>
    <xf numFmtId="178" fontId="11" fillId="0" borderId="0" xfId="0" applyNumberFormat="1" applyFont="1" applyAlignment="1"/>
    <xf numFmtId="49" fontId="32" fillId="0" borderId="0" xfId="0" applyNumberFormat="1" applyFont="1" applyAlignment="1"/>
    <xf numFmtId="14" fontId="32" fillId="0" borderId="0" xfId="0" applyNumberFormat="1" applyFont="1" applyAlignment="1"/>
    <xf numFmtId="14" fontId="32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180" fontId="19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5" fillId="0" borderId="46" xfId="0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26" fillId="0" borderId="0" xfId="0" applyFont="1"/>
    <xf numFmtId="178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 vertical="center" wrapText="1"/>
    </xf>
    <xf numFmtId="0" fontId="35" fillId="0" borderId="0" xfId="0" applyFont="1" applyAlignment="1">
      <alignment horizontal="right" vertical="center"/>
    </xf>
    <xf numFmtId="0" fontId="35" fillId="0" borderId="0" xfId="0" applyFont="1"/>
    <xf numFmtId="0" fontId="35" fillId="0" borderId="0" xfId="0" applyFont="1" applyAlignment="1">
      <alignment horizontal="left" vertical="center"/>
    </xf>
    <xf numFmtId="14" fontId="26" fillId="0" borderId="0" xfId="0" applyNumberFormat="1" applyFont="1" applyAlignment="1">
      <alignment horizontal="center"/>
    </xf>
    <xf numFmtId="0" fontId="13" fillId="0" borderId="0" xfId="1219" applyFont="1" applyAlignment="1">
      <alignment horizontal="left"/>
    </xf>
    <xf numFmtId="0" fontId="13" fillId="0" borderId="0" xfId="1219" applyFont="1"/>
    <xf numFmtId="178" fontId="26" fillId="0" borderId="0" xfId="1219" applyNumberFormat="1" applyFont="1" applyAlignment="1">
      <alignment horizontal="center"/>
    </xf>
    <xf numFmtId="0" fontId="26" fillId="0" borderId="0" xfId="1219" applyFont="1"/>
    <xf numFmtId="0" fontId="26" fillId="0" borderId="0" xfId="1219" applyFont="1" applyAlignment="1">
      <alignment horizontal="center"/>
    </xf>
    <xf numFmtId="14" fontId="26" fillId="0" borderId="0" xfId="1219" applyNumberFormat="1" applyFont="1" applyAlignment="1">
      <alignment horizontal="center"/>
    </xf>
    <xf numFmtId="0" fontId="25" fillId="0" borderId="46" xfId="1385" applyBorder="1" applyAlignment="1">
      <alignment horizontal="center" vertical="center"/>
    </xf>
    <xf numFmtId="0" fontId="0" fillId="0" borderId="46" xfId="1385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11" xfId="0" applyBorder="1"/>
    <xf numFmtId="0" fontId="0" fillId="0" borderId="46" xfId="1385" applyBorder="1" applyAlignment="1">
      <alignment horizontal="center" vertical="center"/>
    </xf>
    <xf numFmtId="0" fontId="0" fillId="0" borderId="49" xfId="0" applyBorder="1"/>
    <xf numFmtId="0" fontId="18" fillId="0" borderId="46" xfId="1378" applyFont="1" applyBorder="1" applyAlignment="1">
      <alignment vertical="center" wrapText="1"/>
    </xf>
    <xf numFmtId="0" fontId="18" fillId="0" borderId="46" xfId="1378" applyFont="1" applyBorder="1" applyAlignment="1">
      <alignment horizontal="center" vertical="center" wrapText="1"/>
    </xf>
    <xf numFmtId="179" fontId="18" fillId="0" borderId="46" xfId="1378" applyNumberFormat="1" applyFont="1" applyBorder="1" applyAlignment="1">
      <alignment horizontal="center" vertical="center" wrapText="1"/>
    </xf>
    <xf numFmtId="176" fontId="25" fillId="0" borderId="46" xfId="0" applyNumberFormat="1" applyBorder="1" applyAlignment="1">
      <alignment horizontal="center" vertical="center" wrapText="1"/>
    </xf>
    <xf numFmtId="1" fontId="25" fillId="0" borderId="46" xfId="0" applyNumberFormat="1" applyBorder="1" applyAlignment="1">
      <alignment horizontal="center" vertical="center" wrapText="1"/>
    </xf>
    <xf numFmtId="1" fontId="26" fillId="0" borderId="46" xfId="0" applyNumberFormat="1" applyFont="1" applyBorder="1" applyAlignment="1">
      <alignment vertical="center" wrapText="1"/>
    </xf>
    <xf numFmtId="4" fontId="26" fillId="0" borderId="46" xfId="0" applyNumberFormat="1" applyFont="1" applyBorder="1" applyAlignment="1">
      <alignment vertical="center" wrapText="1"/>
    </xf>
    <xf numFmtId="0" fontId="26" fillId="0" borderId="0" xfId="1219" applyFont="1" applyAlignment="1">
      <alignment horizontal="center" vertical="center"/>
    </xf>
    <xf numFmtId="178" fontId="26" fillId="0" borderId="0" xfId="1219" applyNumberFormat="1" applyFont="1" applyAlignment="1">
      <alignment horizontal="center" vertical="center"/>
    </xf>
    <xf numFmtId="179" fontId="26" fillId="0" borderId="0" xfId="1219" applyNumberFormat="1" applyFont="1" applyAlignment="1">
      <alignment horizontal="center" vertical="center"/>
    </xf>
    <xf numFmtId="2" fontId="26" fillId="0" borderId="0" xfId="1219" applyNumberFormat="1" applyFont="1" applyAlignment="1">
      <alignment horizontal="center"/>
    </xf>
    <xf numFmtId="1" fontId="26" fillId="0" borderId="0" xfId="1219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18" fillId="0" borderId="0" xfId="0" applyFont="1"/>
    <xf numFmtId="0" fontId="25" fillId="0" borderId="46" xfId="1385" applyBorder="1" applyAlignment="1">
      <alignment horizontal="center" vertical="center" wrapText="1"/>
    </xf>
    <xf numFmtId="0" fontId="0" fillId="0" borderId="47" xfId="1385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25" fillId="0" borderId="48" xfId="1385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25" fillId="0" borderId="46" xfId="1385" applyBorder="1" applyAlignment="1">
      <alignment vertical="center"/>
    </xf>
    <xf numFmtId="0" fontId="25" fillId="0" borderId="48" xfId="1385" applyBorder="1" applyAlignment="1">
      <alignment vertical="center"/>
    </xf>
    <xf numFmtId="0" fontId="25" fillId="0" borderId="46" xfId="1385" applyBorder="1" applyAlignment="1">
      <alignment vertical="center" wrapText="1"/>
    </xf>
    <xf numFmtId="0" fontId="25" fillId="0" borderId="47" xfId="1385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1" fontId="21" fillId="0" borderId="48" xfId="0" applyNumberFormat="1" applyFont="1" applyBorder="1" applyAlignment="1">
      <alignment vertical="center" wrapText="1"/>
    </xf>
    <xf numFmtId="0" fontId="21" fillId="0" borderId="46" xfId="0" applyFont="1" applyBorder="1" applyAlignment="1">
      <alignment vertical="center" wrapText="1"/>
    </xf>
    <xf numFmtId="0" fontId="25" fillId="0" borderId="46" xfId="1343" applyBorder="1" applyAlignment="1">
      <alignment horizontal="center" vertical="center" wrapText="1"/>
    </xf>
    <xf numFmtId="181" fontId="0" fillId="0" borderId="46" xfId="1385" applyNumberFormat="1" applyBorder="1" applyAlignment="1">
      <alignment horizontal="center" vertical="center" wrapText="1"/>
    </xf>
    <xf numFmtId="2" fontId="22" fillId="0" borderId="46" xfId="1374" applyNumberFormat="1" applyFont="1" applyBorder="1" applyAlignment="1">
      <alignment horizontal="center" vertical="center" wrapText="1"/>
    </xf>
    <xf numFmtId="0" fontId="39" fillId="0" borderId="0" xfId="1225" applyFont="1" applyAlignment="1">
      <alignment horizontal="center" vertical="center"/>
    </xf>
    <xf numFmtId="176" fontId="39" fillId="0" borderId="0" xfId="1225" applyNumberFormat="1" applyFont="1" applyAlignment="1">
      <alignment horizontal="center" vertical="center"/>
    </xf>
    <xf numFmtId="49" fontId="24" fillId="0" borderId="46" xfId="1385" applyNumberFormat="1" applyFont="1" applyBorder="1" applyAlignment="1">
      <alignment horizontal="center" vertical="center"/>
    </xf>
    <xf numFmtId="181" fontId="17" fillId="0" borderId="46" xfId="1385" applyNumberFormat="1" applyFont="1" applyBorder="1" applyAlignment="1">
      <alignment horizontal="center" vertical="center"/>
    </xf>
    <xf numFmtId="2" fontId="24" fillId="0" borderId="46" xfId="1385" applyNumberFormat="1" applyFont="1" applyBorder="1" applyAlignment="1">
      <alignment horizontal="center" vertical="center"/>
    </xf>
    <xf numFmtId="0" fontId="17" fillId="0" borderId="46" xfId="0" applyFont="1" applyBorder="1" applyAlignment="1"/>
    <xf numFmtId="0" fontId="40" fillId="0" borderId="0" xfId="1223" applyFont="1" applyAlignment="1">
      <alignment horizontal="center" vertical="center"/>
    </xf>
    <xf numFmtId="0" fontId="41" fillId="0" borderId="0" xfId="0" applyFont="1" applyAlignment="1"/>
    <xf numFmtId="0" fontId="18" fillId="0" borderId="0" xfId="0" applyFont="1" applyAlignment="1"/>
    <xf numFmtId="178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R22"/>
  <sheetViews>
    <sheetView tabSelected="1" topLeftCell="C1" workbookViewId="0">
      <selection activeCell="H13" sqref="H13"/>
    </sheetView>
  </sheetViews>
  <sheetFormatPr defaultColWidth="9" defaultRowHeight="14.25"/>
  <cols>
    <col min="1" max="1" width="12.375" customWidth="1"/>
    <col min="2" max="3" width="31.25" customWidth="1"/>
    <col min="4" max="5" width="31.3333333333333" style="216" customWidth="1"/>
    <col min="6" max="6" width="25.25" style="217" customWidth="1"/>
    <col min="7" max="7" width="14.5" style="217" customWidth="1"/>
    <col min="8" max="8" width="16.875" style="217" customWidth="1"/>
    <col min="9" max="9" width="8.25" style="217" customWidth="1"/>
    <col min="10" max="10" width="7.58333333333333" style="217" customWidth="1"/>
    <col min="11" max="11" width="5" style="217" customWidth="1"/>
    <col min="12" max="12" width="12" style="217" customWidth="1"/>
    <col min="13" max="13" width="17.75" customWidth="1"/>
    <col min="14" max="14" width="20.875" customWidth="1"/>
  </cols>
  <sheetData>
    <row r="1" ht="72" customHeight="1" spans="1:18">
      <c r="A1" s="184" t="s">
        <v>0</v>
      </c>
    </row>
    <row r="2" ht="23.25" customHeight="1" spans="1:18">
      <c r="A2" s="218"/>
    </row>
    <row r="3" ht="36" customHeight="1" spans="1:18">
      <c r="A3" s="219" t="s">
        <v>1</v>
      </c>
      <c r="B3" s="220"/>
      <c r="C3" s="188" t="s">
        <v>2</v>
      </c>
      <c r="D3" s="187"/>
      <c r="E3" s="187"/>
      <c r="F3" s="181"/>
      <c r="G3" s="181"/>
      <c r="H3" s="181"/>
      <c r="I3" s="181"/>
      <c r="J3" s="181"/>
      <c r="K3" s="181"/>
      <c r="L3" s="181"/>
      <c r="M3" s="221"/>
    </row>
    <row r="4" ht="33" customHeight="1" spans="1:18">
      <c r="A4" s="196" t="s">
        <v>3</v>
      </c>
      <c r="B4" s="222" t="s">
        <v>4</v>
      </c>
      <c r="C4" s="197" t="s">
        <v>5</v>
      </c>
      <c r="D4" s="117"/>
      <c r="E4" s="223" t="s">
        <v>6</v>
      </c>
      <c r="F4" s="223" t="s">
        <v>7</v>
      </c>
      <c r="G4" s="224" t="s">
        <v>8</v>
      </c>
      <c r="H4" s="225" t="s">
        <v>9</v>
      </c>
      <c r="I4" s="222" t="s">
        <v>10</v>
      </c>
      <c r="J4" s="60"/>
      <c r="K4" s="60"/>
      <c r="L4" s="117"/>
      <c r="M4" s="197" t="s">
        <v>11</v>
      </c>
      <c r="N4" s="175" t="s">
        <v>12</v>
      </c>
    </row>
    <row r="5" ht="19" customHeight="1" spans="1:18">
      <c r="A5" s="226"/>
      <c r="B5" s="196"/>
      <c r="C5" s="200" t="s">
        <v>13</v>
      </c>
      <c r="D5" s="200" t="s">
        <v>14</v>
      </c>
      <c r="E5" s="227"/>
      <c r="F5" s="227"/>
      <c r="G5" s="227"/>
      <c r="H5" s="228"/>
      <c r="I5" s="196" t="s">
        <v>15</v>
      </c>
      <c r="J5" s="196" t="s">
        <v>16</v>
      </c>
      <c r="K5" s="196" t="s">
        <v>17</v>
      </c>
      <c r="L5" s="196" t="s">
        <v>18</v>
      </c>
      <c r="M5" s="196" t="s">
        <v>19</v>
      </c>
      <c r="N5" s="226"/>
    </row>
    <row r="6" ht="35.15" customHeight="1" spans="1:18">
      <c r="A6" s="229">
        <v>1</v>
      </c>
      <c r="B6" s="222"/>
      <c r="C6" s="230" t="s">
        <v>20</v>
      </c>
      <c r="D6" s="126" t="s">
        <v>20</v>
      </c>
      <c r="E6" s="126" t="s">
        <v>21</v>
      </c>
      <c r="F6" s="231" t="s">
        <v>22</v>
      </c>
      <c r="G6" s="232">
        <v>1</v>
      </c>
      <c r="H6" s="232">
        <v>1</v>
      </c>
      <c r="I6" s="233">
        <v>0</v>
      </c>
      <c r="J6" s="222">
        <v>0</v>
      </c>
      <c r="K6" s="234">
        <v>0</v>
      </c>
      <c r="L6" s="235">
        <v>0</v>
      </c>
      <c r="M6" s="236">
        <v>3600</v>
      </c>
      <c r="N6" s="175" t="s">
        <v>23</v>
      </c>
      <c r="O6" s="136"/>
      <c r="P6" s="237"/>
      <c r="Q6" s="237"/>
      <c r="R6" s="238"/>
    </row>
    <row r="7" ht="35.15" customHeight="1" spans="1:18">
      <c r="A7" s="229">
        <v>2</v>
      </c>
      <c r="B7" s="222"/>
      <c r="C7" s="230" t="s">
        <v>24</v>
      </c>
      <c r="D7" s="126" t="s">
        <v>24</v>
      </c>
      <c r="E7" s="126" t="s">
        <v>25</v>
      </c>
      <c r="F7" s="231" t="s">
        <v>22</v>
      </c>
      <c r="G7" s="232">
        <v>1</v>
      </c>
      <c r="H7" s="232">
        <v>1</v>
      </c>
      <c r="I7" s="233">
        <v>0</v>
      </c>
      <c r="J7" s="222">
        <v>0</v>
      </c>
      <c r="K7" s="234">
        <v>0</v>
      </c>
      <c r="L7" s="235">
        <v>0</v>
      </c>
      <c r="M7" s="236">
        <v>25</v>
      </c>
      <c r="N7" s="175" t="s">
        <v>23</v>
      </c>
      <c r="O7" s="136"/>
      <c r="P7" s="237"/>
      <c r="Q7" s="237"/>
      <c r="R7" s="238"/>
    </row>
    <row r="8" ht="35.15" customHeight="1" spans="1:18">
      <c r="A8" s="229">
        <v>3</v>
      </c>
      <c r="B8" s="222"/>
      <c r="C8" s="230" t="s">
        <v>26</v>
      </c>
      <c r="D8" s="126" t="s">
        <v>26</v>
      </c>
      <c r="E8" s="126" t="s">
        <v>25</v>
      </c>
      <c r="F8" s="231" t="s">
        <v>22</v>
      </c>
      <c r="G8" s="232">
        <v>1</v>
      </c>
      <c r="H8" s="232">
        <v>1</v>
      </c>
      <c r="I8" s="233">
        <v>0</v>
      </c>
      <c r="J8" s="222">
        <v>0</v>
      </c>
      <c r="K8" s="234">
        <v>0</v>
      </c>
      <c r="L8" s="235">
        <v>0</v>
      </c>
      <c r="M8" s="236">
        <v>130</v>
      </c>
      <c r="N8" s="175" t="s">
        <v>23</v>
      </c>
      <c r="O8" s="136"/>
      <c r="P8" s="237"/>
      <c r="Q8" s="237"/>
      <c r="R8" s="238"/>
    </row>
    <row r="9" ht="35.15" customHeight="1" spans="1:18">
      <c r="A9" s="229">
        <v>4</v>
      </c>
      <c r="B9" s="222"/>
      <c r="C9" s="230" t="s">
        <v>27</v>
      </c>
      <c r="D9" s="126" t="s">
        <v>27</v>
      </c>
      <c r="E9" s="126" t="s">
        <v>28</v>
      </c>
      <c r="F9" s="231" t="s">
        <v>22</v>
      </c>
      <c r="G9" s="232">
        <v>1</v>
      </c>
      <c r="H9" s="232">
        <v>1</v>
      </c>
      <c r="I9" s="233">
        <v>0</v>
      </c>
      <c r="J9" s="222">
        <v>0</v>
      </c>
      <c r="K9" s="234">
        <v>0</v>
      </c>
      <c r="L9" s="235">
        <v>0</v>
      </c>
      <c r="M9" s="236">
        <v>30</v>
      </c>
      <c r="N9" s="175" t="s">
        <v>23</v>
      </c>
      <c r="O9" s="136"/>
      <c r="P9" s="237"/>
      <c r="Q9" s="237"/>
      <c r="R9" s="238"/>
    </row>
    <row r="10" ht="35.15" customHeight="1" spans="1:18">
      <c r="A10" s="229">
        <v>5</v>
      </c>
      <c r="B10" s="222"/>
      <c r="C10" s="230" t="s">
        <v>29</v>
      </c>
      <c r="D10" s="126" t="s">
        <v>29</v>
      </c>
      <c r="E10" s="126" t="s">
        <v>28</v>
      </c>
      <c r="F10" s="231" t="s">
        <v>22</v>
      </c>
      <c r="G10" s="232">
        <v>1</v>
      </c>
      <c r="H10" s="232">
        <v>1</v>
      </c>
      <c r="I10" s="233">
        <v>0</v>
      </c>
      <c r="J10" s="222">
        <v>0</v>
      </c>
      <c r="K10" s="234">
        <v>0</v>
      </c>
      <c r="L10" s="235">
        <v>0</v>
      </c>
      <c r="M10" s="236">
        <v>120</v>
      </c>
      <c r="N10" s="175" t="s">
        <v>23</v>
      </c>
      <c r="O10" s="136"/>
      <c r="P10" s="237"/>
      <c r="Q10" s="237"/>
      <c r="R10" s="238"/>
    </row>
    <row r="11" ht="35.15" customHeight="1" spans="1:18">
      <c r="A11" s="229">
        <v>6</v>
      </c>
      <c r="B11" s="222"/>
      <c r="C11" s="230" t="s">
        <v>30</v>
      </c>
      <c r="D11" s="126" t="s">
        <v>30</v>
      </c>
      <c r="E11" s="126" t="s">
        <v>28</v>
      </c>
      <c r="F11" s="231" t="s">
        <v>22</v>
      </c>
      <c r="G11" s="232">
        <v>1</v>
      </c>
      <c r="H11" s="232">
        <v>1</v>
      </c>
      <c r="I11" s="233">
        <v>0</v>
      </c>
      <c r="J11" s="222">
        <v>0</v>
      </c>
      <c r="K11" s="234">
        <v>0</v>
      </c>
      <c r="L11" s="235">
        <v>0</v>
      </c>
      <c r="M11" s="236">
        <v>45</v>
      </c>
      <c r="N11" s="175" t="s">
        <v>23</v>
      </c>
      <c r="O11" s="136"/>
      <c r="P11" s="237"/>
      <c r="Q11" s="237"/>
      <c r="R11" s="238"/>
    </row>
    <row r="12" ht="35.15" customHeight="1" spans="1:18">
      <c r="A12" s="229">
        <v>7</v>
      </c>
      <c r="B12" s="222"/>
      <c r="C12" s="230" t="s">
        <v>31</v>
      </c>
      <c r="D12" s="126" t="s">
        <v>31</v>
      </c>
      <c r="E12" s="126" t="s">
        <v>21</v>
      </c>
      <c r="F12" s="231" t="s">
        <v>22</v>
      </c>
      <c r="G12" s="232">
        <v>1</v>
      </c>
      <c r="H12" s="232">
        <v>0</v>
      </c>
      <c r="I12" s="233">
        <v>0</v>
      </c>
      <c r="J12" s="222">
        <v>0</v>
      </c>
      <c r="K12" s="234">
        <v>0</v>
      </c>
      <c r="L12" s="235">
        <v>0</v>
      </c>
      <c r="M12" s="236">
        <v>0</v>
      </c>
      <c r="N12" s="175" t="s">
        <v>23</v>
      </c>
      <c r="O12" s="136"/>
      <c r="P12" s="237"/>
      <c r="Q12" s="237"/>
      <c r="R12" s="238"/>
    </row>
    <row r="13" ht="35.15" customHeight="1" spans="1:18">
      <c r="A13" s="229">
        <v>8</v>
      </c>
      <c r="B13" s="222"/>
      <c r="C13" s="230" t="s">
        <v>32</v>
      </c>
      <c r="D13" s="126" t="s">
        <v>32</v>
      </c>
      <c r="E13" s="126" t="s">
        <v>25</v>
      </c>
      <c r="F13" s="231" t="s">
        <v>22</v>
      </c>
      <c r="G13" s="232">
        <v>1</v>
      </c>
      <c r="H13" s="232">
        <v>0</v>
      </c>
      <c r="I13" s="233">
        <v>0</v>
      </c>
      <c r="J13" s="222">
        <v>0</v>
      </c>
      <c r="K13" s="234">
        <v>0</v>
      </c>
      <c r="L13" s="235">
        <v>0</v>
      </c>
      <c r="M13" s="236">
        <v>0</v>
      </c>
      <c r="N13" s="175" t="s">
        <v>23</v>
      </c>
      <c r="O13" s="136"/>
      <c r="P13" s="237"/>
      <c r="Q13" s="237"/>
      <c r="R13" s="238"/>
    </row>
    <row r="14" ht="35.15" customHeight="1" spans="1:18">
      <c r="A14" s="229">
        <v>9</v>
      </c>
      <c r="B14" s="222"/>
      <c r="C14" s="230" t="s">
        <v>33</v>
      </c>
      <c r="D14" s="126" t="s">
        <v>33</v>
      </c>
      <c r="E14" s="126" t="s">
        <v>28</v>
      </c>
      <c r="F14" s="231" t="s">
        <v>22</v>
      </c>
      <c r="G14" s="232">
        <v>1</v>
      </c>
      <c r="H14" s="232">
        <v>0</v>
      </c>
      <c r="I14" s="233">
        <v>0</v>
      </c>
      <c r="J14" s="222">
        <v>0</v>
      </c>
      <c r="K14" s="234">
        <v>0</v>
      </c>
      <c r="L14" s="235">
        <v>0</v>
      </c>
      <c r="M14" s="236">
        <v>0</v>
      </c>
      <c r="N14" s="175" t="s">
        <v>23</v>
      </c>
      <c r="O14" s="136"/>
      <c r="P14" s="237"/>
      <c r="Q14" s="237"/>
      <c r="R14" s="238"/>
    </row>
    <row r="15" ht="35.15" customHeight="1" spans="1:18">
      <c r="A15" s="229">
        <v>10</v>
      </c>
      <c r="B15" s="222"/>
      <c r="C15" s="230" t="s">
        <v>34</v>
      </c>
      <c r="D15" s="126" t="s">
        <v>34</v>
      </c>
      <c r="E15" s="126" t="s">
        <v>28</v>
      </c>
      <c r="F15" s="231" t="s">
        <v>22</v>
      </c>
      <c r="G15" s="232">
        <v>1</v>
      </c>
      <c r="H15" s="232">
        <v>0</v>
      </c>
      <c r="I15" s="233">
        <v>0</v>
      </c>
      <c r="J15" s="222">
        <v>0</v>
      </c>
      <c r="K15" s="234">
        <v>0</v>
      </c>
      <c r="L15" s="235">
        <v>0</v>
      </c>
      <c r="M15" s="236">
        <v>0</v>
      </c>
      <c r="N15" s="175" t="s">
        <v>23</v>
      </c>
      <c r="O15" s="136"/>
      <c r="P15" s="237"/>
      <c r="Q15" s="237"/>
      <c r="R15" s="238"/>
    </row>
    <row r="16" ht="35.15" customHeight="1" spans="1:18">
      <c r="A16" s="229">
        <v>11</v>
      </c>
      <c r="B16" s="222"/>
      <c r="C16" s="230" t="s">
        <v>35</v>
      </c>
      <c r="D16" s="126" t="s">
        <v>35</v>
      </c>
      <c r="E16" s="126" t="s">
        <v>28</v>
      </c>
      <c r="F16" s="231" t="s">
        <v>22</v>
      </c>
      <c r="G16" s="232">
        <v>1</v>
      </c>
      <c r="H16" s="232">
        <v>0</v>
      </c>
      <c r="I16" s="233">
        <v>0</v>
      </c>
      <c r="J16" s="222">
        <v>0</v>
      </c>
      <c r="K16" s="234">
        <v>0</v>
      </c>
      <c r="L16" s="235">
        <v>0</v>
      </c>
      <c r="M16" s="236">
        <v>0</v>
      </c>
      <c r="N16" s="175" t="s">
        <v>23</v>
      </c>
      <c r="O16" s="136"/>
      <c r="P16" s="237"/>
      <c r="Q16" s="237"/>
      <c r="R16" s="238"/>
    </row>
    <row r="17" ht="30.75" customHeight="1" spans="1:18">
      <c r="A17" s="239" t="s">
        <v>36</v>
      </c>
      <c r="B17" s="60"/>
      <c r="C17" s="60"/>
      <c r="D17" s="60"/>
      <c r="E17" s="60"/>
      <c r="F17" s="60"/>
      <c r="G17" s="117"/>
      <c r="H17" s="196"/>
      <c r="I17" s="196"/>
      <c r="J17" s="196"/>
      <c r="K17" s="196"/>
      <c r="L17" s="240">
        <f>SUM(L6:L16)</f>
        <v>0</v>
      </c>
      <c r="M17" s="241">
        <f>SUM(M6:M16)</f>
        <v>3950</v>
      </c>
      <c r="N17" s="242"/>
      <c r="O17" s="243">
        <v>11</v>
      </c>
      <c r="P17" s="243">
        <v>6</v>
      </c>
      <c r="Q17" s="244"/>
      <c r="R17" s="136"/>
    </row>
    <row r="18" spans="1:18">
      <c r="A18" s="245"/>
      <c r="B18" s="245"/>
      <c r="C18" s="245"/>
      <c r="D18" s="246"/>
      <c r="E18" s="246"/>
      <c r="F18" s="247"/>
      <c r="G18" s="247"/>
      <c r="H18" s="247"/>
      <c r="I18" s="247"/>
      <c r="J18" s="247"/>
      <c r="K18" s="247"/>
      <c r="L18" s="247"/>
      <c r="M18" s="245"/>
      <c r="N18" s="136"/>
      <c r="O18" s="136"/>
      <c r="P18" s="136"/>
      <c r="Q18" s="136"/>
      <c r="R18" s="136"/>
    </row>
    <row r="19" spans="1:18">
      <c r="A19" s="248" t="s">
        <v>37</v>
      </c>
      <c r="B19" s="245"/>
      <c r="C19" s="245"/>
      <c r="D19" s="246"/>
      <c r="E19" s="246"/>
      <c r="F19" s="247"/>
      <c r="G19" s="247"/>
      <c r="H19" s="247"/>
      <c r="I19" s="247"/>
      <c r="J19" s="247"/>
      <c r="K19" s="247"/>
      <c r="L19" s="247"/>
      <c r="M19" s="245"/>
      <c r="N19" s="136"/>
      <c r="O19" s="136"/>
      <c r="P19" s="136"/>
      <c r="Q19" s="136"/>
      <c r="R19" s="136"/>
    </row>
  </sheetData>
  <mergeCells count="6">
    <mergeCell ref="A1:M1"/>
    <mergeCell ref="A2:M2"/>
    <mergeCell ref="C4:D4"/>
    <mergeCell ref="I4:L4"/>
    <mergeCell ref="A17:G17"/>
    <mergeCell ref="J22:M22"/>
  </mergeCells>
  <printOptions horizontalCentered="1"/>
  <pageMargins left="0.17" right="0.16" top="0.4" bottom="0.354330708661417" header="0.44" footer="0.15748031496063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J22"/>
  <sheetViews>
    <sheetView view="pageBreakPreview" zoomScaleNormal="100" workbookViewId="0">
      <selection activeCell="N5" sqref="N5"/>
    </sheetView>
  </sheetViews>
  <sheetFormatPr defaultColWidth="9" defaultRowHeight="14.25"/>
  <cols>
    <col min="1" max="1" width="9.5" style="181" customWidth="1"/>
    <col min="2" max="2" width="10.75" style="181" customWidth="1"/>
    <col min="3" max="3" width="10" style="182" customWidth="1"/>
    <col min="4" max="4" width="13.375" style="181" customWidth="1"/>
    <col min="5" max="5" width="12.625" style="183" customWidth="1"/>
    <col min="6" max="6" width="15.75" style="181" customWidth="1"/>
    <col min="7" max="7" width="18.625" style="181" customWidth="1"/>
    <col min="8" max="8" width="15.125" style="181" customWidth="1"/>
    <col min="9" max="9" width="15.75" style="181" customWidth="1"/>
    <col min="10" max="10" width="16.25" style="181" customWidth="1"/>
    <col min="11" max="16384" width="9" style="181" customWidth="1"/>
  </cols>
  <sheetData>
    <row r="1" ht="39" customHeight="1" spans="1:10">
      <c r="A1" s="184" t="s">
        <v>38</v>
      </c>
    </row>
    <row r="2" ht="31.5" customHeight="1"/>
    <row r="3" ht="32.25" customHeight="1" spans="1:10">
      <c r="G3" s="185" t="s">
        <v>39</v>
      </c>
    </row>
    <row r="4" ht="32.25" customHeight="1" spans="1:10">
      <c r="G4" s="185" t="s">
        <v>40</v>
      </c>
    </row>
    <row r="5" ht="34.5" customHeight="1" spans="1:10">
      <c r="G5" s="185" t="s">
        <v>41</v>
      </c>
    </row>
    <row r="6" ht="24.75" customHeight="1" spans="1:10">
      <c r="A6" s="186" t="s">
        <v>1</v>
      </c>
      <c r="B6" s="187"/>
      <c r="C6" s="188" t="s">
        <v>2</v>
      </c>
      <c r="D6" s="187"/>
      <c r="E6" s="187"/>
      <c r="F6" s="189"/>
    </row>
    <row r="7" ht="18" customHeight="1" spans="1:10">
      <c r="A7" s="190"/>
      <c r="B7" s="191"/>
      <c r="C7" s="192"/>
      <c r="D7" s="193"/>
      <c r="E7" s="194"/>
      <c r="F7" s="195"/>
      <c r="G7" s="193"/>
    </row>
    <row r="8" ht="33" customHeight="1" spans="1:10">
      <c r="A8" s="196" t="s">
        <v>3</v>
      </c>
      <c r="B8" s="197" t="s">
        <v>5</v>
      </c>
      <c r="C8" s="117"/>
      <c r="D8" s="197" t="s">
        <v>42</v>
      </c>
      <c r="E8" s="197" t="s">
        <v>43</v>
      </c>
      <c r="F8" s="198" t="s">
        <v>44</v>
      </c>
      <c r="G8" s="197" t="s">
        <v>45</v>
      </c>
      <c r="H8" s="197" t="s">
        <v>46</v>
      </c>
      <c r="I8" s="197" t="s">
        <v>47</v>
      </c>
      <c r="J8" s="117"/>
    </row>
    <row r="9" ht="19" customHeight="1" spans="1:10">
      <c r="A9" s="199"/>
      <c r="B9" s="200" t="s">
        <v>13</v>
      </c>
      <c r="C9" s="200" t="s">
        <v>14</v>
      </c>
      <c r="D9" s="199"/>
      <c r="E9" s="199"/>
      <c r="F9" s="201"/>
      <c r="G9" s="199"/>
      <c r="H9" s="199"/>
      <c r="I9" s="196" t="s">
        <v>48</v>
      </c>
      <c r="J9" s="196" t="s">
        <v>49</v>
      </c>
    </row>
    <row r="10" ht="42.75" customHeight="1" spans="1:10">
      <c r="A10" s="202">
        <v>1</v>
      </c>
      <c r="B10" s="203" t="s">
        <v>20</v>
      </c>
      <c r="C10" s="204" t="s">
        <v>20</v>
      </c>
      <c r="D10" s="203" t="s">
        <v>21</v>
      </c>
      <c r="E10" s="205" t="s">
        <v>22</v>
      </c>
      <c r="F10" s="206">
        <v>1</v>
      </c>
      <c r="G10" s="207">
        <v>1</v>
      </c>
      <c r="H10" s="207">
        <v>1</v>
      </c>
      <c r="I10" s="208">
        <v>5300</v>
      </c>
      <c r="J10" s="208">
        <v>5300</v>
      </c>
    </row>
    <row r="11" ht="42.75" customHeight="1" spans="1:10">
      <c r="A11" s="202">
        <v>2</v>
      </c>
      <c r="B11" s="203" t="s">
        <v>24</v>
      </c>
      <c r="C11" s="204" t="s">
        <v>24</v>
      </c>
      <c r="D11" s="203" t="s">
        <v>25</v>
      </c>
      <c r="E11" s="205" t="s">
        <v>22</v>
      </c>
      <c r="F11" s="206">
        <v>1</v>
      </c>
      <c r="G11" s="207">
        <v>1</v>
      </c>
      <c r="H11" s="207">
        <v>1</v>
      </c>
      <c r="I11" s="208">
        <v>150</v>
      </c>
      <c r="J11" s="208">
        <v>150</v>
      </c>
    </row>
    <row r="12" ht="42.75" customHeight="1" spans="1:10">
      <c r="A12" s="202">
        <v>3</v>
      </c>
      <c r="B12" s="203" t="s">
        <v>26</v>
      </c>
      <c r="C12" s="204" t="s">
        <v>26</v>
      </c>
      <c r="D12" s="203" t="s">
        <v>25</v>
      </c>
      <c r="E12" s="205" t="s">
        <v>22</v>
      </c>
      <c r="F12" s="206">
        <v>1</v>
      </c>
      <c r="G12" s="207">
        <v>1</v>
      </c>
      <c r="H12" s="207">
        <v>1</v>
      </c>
      <c r="I12" s="208">
        <v>450</v>
      </c>
      <c r="J12" s="208">
        <v>450</v>
      </c>
    </row>
    <row r="13" ht="42.75" customHeight="1" spans="1:10">
      <c r="A13" s="202">
        <v>4</v>
      </c>
      <c r="B13" s="203" t="s">
        <v>27</v>
      </c>
      <c r="C13" s="204" t="s">
        <v>27</v>
      </c>
      <c r="D13" s="203" t="s">
        <v>28</v>
      </c>
      <c r="E13" s="205" t="s">
        <v>22</v>
      </c>
      <c r="F13" s="206">
        <v>1</v>
      </c>
      <c r="G13" s="207">
        <v>1</v>
      </c>
      <c r="H13" s="207">
        <v>1</v>
      </c>
      <c r="I13" s="208">
        <v>120</v>
      </c>
      <c r="J13" s="208">
        <v>120</v>
      </c>
    </row>
    <row r="14" ht="42.75" customHeight="1" spans="1:10">
      <c r="A14" s="202">
        <v>5</v>
      </c>
      <c r="B14" s="203" t="s">
        <v>29</v>
      </c>
      <c r="C14" s="204" t="s">
        <v>29</v>
      </c>
      <c r="D14" s="203" t="s">
        <v>28</v>
      </c>
      <c r="E14" s="205" t="s">
        <v>22</v>
      </c>
      <c r="F14" s="206">
        <v>1</v>
      </c>
      <c r="G14" s="207">
        <v>1</v>
      </c>
      <c r="H14" s="207">
        <v>1</v>
      </c>
      <c r="I14" s="208">
        <v>600</v>
      </c>
      <c r="J14" s="208">
        <v>600</v>
      </c>
    </row>
    <row r="15" ht="42.75" customHeight="1" spans="1:10">
      <c r="A15" s="202">
        <v>6</v>
      </c>
      <c r="B15" s="203" t="s">
        <v>30</v>
      </c>
      <c r="C15" s="204" t="s">
        <v>30</v>
      </c>
      <c r="D15" s="203" t="s">
        <v>28</v>
      </c>
      <c r="E15" s="205" t="s">
        <v>22</v>
      </c>
      <c r="F15" s="206">
        <v>1</v>
      </c>
      <c r="G15" s="207">
        <v>1</v>
      </c>
      <c r="H15" s="207">
        <v>1</v>
      </c>
      <c r="I15" s="208">
        <v>200</v>
      </c>
      <c r="J15" s="208">
        <v>200</v>
      </c>
    </row>
    <row r="16" ht="42.75" customHeight="1" spans="1:10">
      <c r="A16" s="202">
        <v>7</v>
      </c>
      <c r="B16" s="203" t="s">
        <v>31</v>
      </c>
      <c r="C16" s="204" t="s">
        <v>31</v>
      </c>
      <c r="D16" s="203" t="s">
        <v>21</v>
      </c>
      <c r="E16" s="205" t="s">
        <v>22</v>
      </c>
      <c r="F16" s="206">
        <v>1</v>
      </c>
      <c r="G16" s="207">
        <v>0</v>
      </c>
      <c r="H16" s="207">
        <v>0</v>
      </c>
      <c r="I16" s="208">
        <v>5300</v>
      </c>
      <c r="J16" s="208">
        <v>0</v>
      </c>
    </row>
    <row r="17" ht="42.75" customHeight="1" spans="1:10">
      <c r="A17" s="202">
        <v>8</v>
      </c>
      <c r="B17" s="203" t="s">
        <v>32</v>
      </c>
      <c r="C17" s="204" t="s">
        <v>32</v>
      </c>
      <c r="D17" s="203" t="s">
        <v>25</v>
      </c>
      <c r="E17" s="205" t="s">
        <v>22</v>
      </c>
      <c r="F17" s="206">
        <v>1</v>
      </c>
      <c r="G17" s="207">
        <v>0</v>
      </c>
      <c r="H17" s="207">
        <v>0</v>
      </c>
      <c r="I17" s="208">
        <v>150</v>
      </c>
      <c r="J17" s="208">
        <v>0</v>
      </c>
    </row>
    <row r="18" ht="42.75" customHeight="1" spans="1:10">
      <c r="A18" s="202">
        <v>9</v>
      </c>
      <c r="B18" s="203" t="s">
        <v>33</v>
      </c>
      <c r="C18" s="204" t="s">
        <v>33</v>
      </c>
      <c r="D18" s="203" t="s">
        <v>28</v>
      </c>
      <c r="E18" s="205" t="s">
        <v>22</v>
      </c>
      <c r="F18" s="206">
        <v>1</v>
      </c>
      <c r="G18" s="207">
        <v>0</v>
      </c>
      <c r="H18" s="207">
        <v>0</v>
      </c>
      <c r="I18" s="208">
        <v>120</v>
      </c>
      <c r="J18" s="208">
        <v>0</v>
      </c>
    </row>
    <row r="19" ht="42.75" customHeight="1" spans="1:10">
      <c r="A19" s="202">
        <v>10</v>
      </c>
      <c r="B19" s="203" t="s">
        <v>34</v>
      </c>
      <c r="C19" s="204" t="s">
        <v>34</v>
      </c>
      <c r="D19" s="203" t="s">
        <v>28</v>
      </c>
      <c r="E19" s="205" t="s">
        <v>22</v>
      </c>
      <c r="F19" s="206">
        <v>1</v>
      </c>
      <c r="G19" s="207">
        <v>0</v>
      </c>
      <c r="H19" s="207">
        <v>0</v>
      </c>
      <c r="I19" s="208">
        <v>600</v>
      </c>
      <c r="J19" s="208">
        <v>0</v>
      </c>
    </row>
    <row r="20" ht="42.75" customHeight="1" spans="1:10">
      <c r="A20" s="202">
        <v>11</v>
      </c>
      <c r="B20" s="203" t="s">
        <v>35</v>
      </c>
      <c r="C20" s="204" t="s">
        <v>35</v>
      </c>
      <c r="D20" s="203" t="s">
        <v>28</v>
      </c>
      <c r="E20" s="205" t="s">
        <v>22</v>
      </c>
      <c r="F20" s="206">
        <v>1</v>
      </c>
      <c r="G20" s="207">
        <v>0</v>
      </c>
      <c r="H20" s="207">
        <v>0</v>
      </c>
      <c r="I20" s="208">
        <v>200</v>
      </c>
      <c r="J20" s="208">
        <v>0</v>
      </c>
    </row>
    <row r="21" ht="31.5" customHeight="1" spans="1:10">
      <c r="A21" s="194"/>
      <c r="B21" s="209" t="s">
        <v>36</v>
      </c>
      <c r="C21" s="210"/>
      <c r="D21" s="211"/>
      <c r="E21" s="212"/>
      <c r="F21" s="213">
        <f>SUM(F10:F20)</f>
        <v>11</v>
      </c>
      <c r="G21" s="136"/>
      <c r="H21" s="214">
        <f>SUM(H10:H20)</f>
        <v>6</v>
      </c>
      <c r="I21" s="136"/>
      <c r="J21" s="215">
        <f>SUM(J10:J20)</f>
        <v>6820</v>
      </c>
    </row>
  </sheetData>
  <mergeCells count="13">
    <mergeCell ref="G3:I3"/>
    <mergeCell ref="G4:I4"/>
    <mergeCell ref="G5:I5"/>
    <mergeCell ref="B8:C8"/>
    <mergeCell ref="I8:J8"/>
    <mergeCell ref="E22:F22"/>
    <mergeCell ref="A8:A9"/>
    <mergeCell ref="D8:D9"/>
    <mergeCell ref="E8:E9"/>
    <mergeCell ref="F8:F9"/>
    <mergeCell ref="G8:G9"/>
    <mergeCell ref="H8:H9"/>
    <mergeCell ref="A1:J2"/>
  </mergeCells>
  <printOptions horizontalCentered="1"/>
  <pageMargins left="0.275590551181102" right="0.118110236220472" top="0.2" bottom="0.26" header="0.3" footer="0.19"/>
  <pageSetup paperSize="9" scale="8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zoomScale="115" zoomScaleNormal="115" workbookViewId="0">
      <selection activeCell="D16" sqref="D16"/>
    </sheetView>
  </sheetViews>
  <sheetFormatPr defaultColWidth="9" defaultRowHeight="14.25"/>
  <cols>
    <col min="1" max="1" width="8" customWidth="1"/>
    <col min="2" max="2" width="17.7083333333333" customWidth="1"/>
    <col min="3" max="5" width="14.8333333333333" customWidth="1"/>
    <col min="6" max="6" width="16" customWidth="1"/>
    <col min="7" max="7" width="16.8333333333333" customWidth="1"/>
    <col min="8" max="8" width="13.0416666666667" customWidth="1"/>
    <col min="9" max="10" width="10.3333333333333" customWidth="1"/>
  </cols>
  <sheetData>
    <row r="1" ht="20.25" customHeight="1" spans="1:12">
      <c r="A1" s="1" t="s">
        <v>50</v>
      </c>
    </row>
    <row r="2" ht="22.5" customHeight="1" spans="1:12">
      <c r="A2" s="168" t="s">
        <v>51</v>
      </c>
      <c r="B2" s="169"/>
      <c r="C2" s="170"/>
      <c r="D2" s="170"/>
      <c r="E2" s="170" t="s">
        <v>52</v>
      </c>
      <c r="F2" s="168"/>
      <c r="G2" s="171" t="s">
        <v>53</v>
      </c>
    </row>
    <row r="3" ht="18" customHeight="1" spans="1:12">
      <c r="A3" s="168" t="s">
        <v>54</v>
      </c>
      <c r="B3" s="172"/>
      <c r="C3" s="107"/>
      <c r="D3" s="107"/>
      <c r="E3" s="107"/>
      <c r="F3" s="107"/>
      <c r="G3" s="173"/>
    </row>
    <row r="4" ht="42.75" customHeight="1" spans="1:12">
      <c r="A4" s="174" t="s">
        <v>55</v>
      </c>
      <c r="B4" s="174" t="s">
        <v>56</v>
      </c>
      <c r="C4" s="174" t="s">
        <v>57</v>
      </c>
      <c r="D4" s="174" t="s">
        <v>58</v>
      </c>
      <c r="E4" s="174" t="s">
        <v>59</v>
      </c>
      <c r="F4" s="175" t="s">
        <v>60</v>
      </c>
      <c r="G4" s="174" t="s">
        <v>61</v>
      </c>
      <c r="H4" s="174" t="s">
        <v>62</v>
      </c>
      <c r="I4" s="174" t="s">
        <v>63</v>
      </c>
      <c r="J4" s="174" t="s">
        <v>64</v>
      </c>
      <c r="K4" s="174" t="s">
        <v>65</v>
      </c>
    </row>
    <row r="5" ht="57.75" customHeight="1" spans="1:12">
      <c r="A5" s="175">
        <v>1</v>
      </c>
      <c r="B5" s="176" t="s">
        <v>22</v>
      </c>
      <c r="C5" s="177" t="s">
        <v>20</v>
      </c>
      <c r="D5" s="177" t="s">
        <v>21</v>
      </c>
      <c r="E5" s="176" t="s">
        <v>22</v>
      </c>
      <c r="F5" s="176" t="s">
        <v>22</v>
      </c>
      <c r="G5" s="178" t="s">
        <v>22</v>
      </c>
      <c r="H5" s="175" t="s">
        <v>22</v>
      </c>
      <c r="I5" s="175" t="s">
        <v>22</v>
      </c>
      <c r="J5" s="175" t="s">
        <v>66</v>
      </c>
      <c r="K5" s="179"/>
      <c r="L5" s="180"/>
    </row>
    <row r="6" ht="57.75" customHeight="1" spans="1:12">
      <c r="A6" s="175">
        <v>2</v>
      </c>
      <c r="B6" s="176" t="s">
        <v>22</v>
      </c>
      <c r="C6" s="177" t="s">
        <v>24</v>
      </c>
      <c r="D6" s="177" t="s">
        <v>25</v>
      </c>
      <c r="E6" s="176" t="s">
        <v>22</v>
      </c>
      <c r="F6" s="176" t="s">
        <v>22</v>
      </c>
      <c r="G6" s="178" t="s">
        <v>22</v>
      </c>
      <c r="H6" s="175" t="s">
        <v>22</v>
      </c>
      <c r="I6" s="175" t="s">
        <v>22</v>
      </c>
      <c r="J6" s="175" t="s">
        <v>66</v>
      </c>
      <c r="K6" s="179"/>
      <c r="L6" s="180"/>
    </row>
    <row r="7" ht="57.75" customHeight="1" spans="1:12">
      <c r="A7" s="175">
        <v>3</v>
      </c>
      <c r="B7" s="176" t="s">
        <v>22</v>
      </c>
      <c r="C7" s="177" t="s">
        <v>26</v>
      </c>
      <c r="D7" s="177" t="s">
        <v>25</v>
      </c>
      <c r="E7" s="176" t="s">
        <v>22</v>
      </c>
      <c r="F7" s="176" t="s">
        <v>22</v>
      </c>
      <c r="G7" s="178" t="s">
        <v>22</v>
      </c>
      <c r="H7" s="175" t="s">
        <v>22</v>
      </c>
      <c r="I7" s="175" t="s">
        <v>22</v>
      </c>
      <c r="J7" s="175" t="s">
        <v>66</v>
      </c>
      <c r="K7" s="179"/>
      <c r="L7" s="180"/>
    </row>
    <row r="8" ht="57.75" customHeight="1" spans="1:12">
      <c r="A8" s="175">
        <v>4</v>
      </c>
      <c r="B8" s="176" t="s">
        <v>22</v>
      </c>
      <c r="C8" s="177" t="s">
        <v>27</v>
      </c>
      <c r="D8" s="177" t="s">
        <v>28</v>
      </c>
      <c r="E8" s="176" t="s">
        <v>22</v>
      </c>
      <c r="F8" s="176" t="s">
        <v>22</v>
      </c>
      <c r="G8" s="178" t="s">
        <v>22</v>
      </c>
      <c r="H8" s="175" t="s">
        <v>22</v>
      </c>
      <c r="I8" s="175" t="s">
        <v>22</v>
      </c>
      <c r="J8" s="175" t="s">
        <v>66</v>
      </c>
      <c r="K8" s="179"/>
      <c r="L8" s="180"/>
    </row>
    <row r="9" ht="57.75" customHeight="1" spans="1:12">
      <c r="A9" s="175">
        <v>5</v>
      </c>
      <c r="B9" s="176" t="s">
        <v>22</v>
      </c>
      <c r="C9" s="177" t="s">
        <v>29</v>
      </c>
      <c r="D9" s="177" t="s">
        <v>28</v>
      </c>
      <c r="E9" s="176" t="s">
        <v>22</v>
      </c>
      <c r="F9" s="176" t="s">
        <v>22</v>
      </c>
      <c r="G9" s="178" t="s">
        <v>22</v>
      </c>
      <c r="H9" s="175" t="s">
        <v>22</v>
      </c>
      <c r="I9" s="175" t="s">
        <v>22</v>
      </c>
      <c r="J9" s="175" t="s">
        <v>66</v>
      </c>
      <c r="K9" s="179"/>
      <c r="L9" s="180"/>
    </row>
    <row r="10" ht="57.75" customHeight="1" spans="1:12">
      <c r="A10" s="175">
        <v>6</v>
      </c>
      <c r="B10" s="176" t="s">
        <v>22</v>
      </c>
      <c r="C10" s="177" t="s">
        <v>30</v>
      </c>
      <c r="D10" s="177" t="s">
        <v>28</v>
      </c>
      <c r="E10" s="176" t="s">
        <v>22</v>
      </c>
      <c r="F10" s="176" t="s">
        <v>22</v>
      </c>
      <c r="G10" s="178" t="s">
        <v>22</v>
      </c>
      <c r="H10" s="175" t="s">
        <v>22</v>
      </c>
      <c r="I10" s="175" t="s">
        <v>22</v>
      </c>
      <c r="J10" s="175" t="s">
        <v>66</v>
      </c>
      <c r="K10" s="179"/>
      <c r="L10" s="180"/>
    </row>
    <row r="11" ht="57.75" customHeight="1" spans="1:12">
      <c r="A11" s="175">
        <v>7</v>
      </c>
      <c r="B11" s="176" t="s">
        <v>22</v>
      </c>
      <c r="C11" s="177" t="s">
        <v>31</v>
      </c>
      <c r="D11" s="177" t="s">
        <v>21</v>
      </c>
      <c r="E11" s="176" t="s">
        <v>22</v>
      </c>
      <c r="F11" s="176" t="s">
        <v>22</v>
      </c>
      <c r="G11" s="178" t="s">
        <v>22</v>
      </c>
      <c r="H11" s="175" t="s">
        <v>22</v>
      </c>
      <c r="I11" s="175" t="s">
        <v>22</v>
      </c>
      <c r="J11" s="175" t="s">
        <v>66</v>
      </c>
      <c r="K11" s="179"/>
      <c r="L11" s="180"/>
    </row>
    <row r="12" ht="57.75" customHeight="1" spans="1:12">
      <c r="A12" s="175">
        <v>8</v>
      </c>
      <c r="B12" s="176" t="s">
        <v>22</v>
      </c>
      <c r="C12" s="177" t="s">
        <v>32</v>
      </c>
      <c r="D12" s="177" t="s">
        <v>25</v>
      </c>
      <c r="E12" s="176" t="s">
        <v>22</v>
      </c>
      <c r="F12" s="176" t="s">
        <v>22</v>
      </c>
      <c r="G12" s="178" t="s">
        <v>22</v>
      </c>
      <c r="H12" s="175" t="s">
        <v>22</v>
      </c>
      <c r="I12" s="175" t="s">
        <v>22</v>
      </c>
      <c r="J12" s="175" t="s">
        <v>66</v>
      </c>
      <c r="K12" s="179"/>
      <c r="L12" s="180"/>
    </row>
    <row r="13" ht="57.75" customHeight="1" spans="1:12">
      <c r="A13" s="175">
        <v>9</v>
      </c>
      <c r="B13" s="176" t="s">
        <v>22</v>
      </c>
      <c r="C13" s="177" t="s">
        <v>33</v>
      </c>
      <c r="D13" s="177" t="s">
        <v>28</v>
      </c>
      <c r="E13" s="176" t="s">
        <v>22</v>
      </c>
      <c r="F13" s="176" t="s">
        <v>22</v>
      </c>
      <c r="G13" s="178" t="s">
        <v>22</v>
      </c>
      <c r="H13" s="175" t="s">
        <v>22</v>
      </c>
      <c r="I13" s="175" t="s">
        <v>22</v>
      </c>
      <c r="J13" s="175" t="s">
        <v>66</v>
      </c>
      <c r="K13" s="179"/>
      <c r="L13" s="180"/>
    </row>
    <row r="14" ht="57.75" customHeight="1" spans="1:12">
      <c r="A14" s="175">
        <v>10</v>
      </c>
      <c r="B14" s="176" t="s">
        <v>22</v>
      </c>
      <c r="C14" s="177" t="s">
        <v>34</v>
      </c>
      <c r="D14" s="177" t="s">
        <v>28</v>
      </c>
      <c r="E14" s="176" t="s">
        <v>22</v>
      </c>
      <c r="F14" s="176" t="s">
        <v>22</v>
      </c>
      <c r="G14" s="178" t="s">
        <v>22</v>
      </c>
      <c r="H14" s="175" t="s">
        <v>22</v>
      </c>
      <c r="I14" s="175" t="s">
        <v>22</v>
      </c>
      <c r="J14" s="175" t="s">
        <v>66</v>
      </c>
      <c r="K14" s="179"/>
      <c r="L14" s="180"/>
    </row>
    <row r="15" ht="57.75" customHeight="1" spans="1:12">
      <c r="A15" s="175">
        <v>11</v>
      </c>
      <c r="B15" s="176" t="s">
        <v>22</v>
      </c>
      <c r="C15" s="177" t="s">
        <v>35</v>
      </c>
      <c r="D15" s="177" t="s">
        <v>28</v>
      </c>
      <c r="E15" s="176" t="s">
        <v>22</v>
      </c>
      <c r="F15" s="176" t="s">
        <v>22</v>
      </c>
      <c r="G15" s="178" t="s">
        <v>22</v>
      </c>
      <c r="H15" s="175" t="s">
        <v>22</v>
      </c>
      <c r="I15" s="175" t="s">
        <v>22</v>
      </c>
      <c r="J15" s="175" t="s">
        <v>66</v>
      </c>
      <c r="K15" s="179"/>
      <c r="L15" s="180"/>
    </row>
  </sheetData>
  <mergeCells count="1">
    <mergeCell ref="A1:K1"/>
  </mergeCells>
  <printOptions horizontalCentered="1"/>
  <pageMargins left="0.196850393700787" right="0.196850393700787" top="0.196850393700787" bottom="0.196850393700787" header="0.236220472440945" footer="0.511811023622047"/>
  <pageSetup paperSize="9" scale="9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M51"/>
  <sheetViews>
    <sheetView zoomScale="145" zoomScaleNormal="145" zoomScaleSheetLayoutView="85" workbookViewId="0">
      <selection activeCell="F31" sqref="F31"/>
    </sheetView>
  </sheetViews>
  <sheetFormatPr defaultColWidth="9" defaultRowHeight="13.5"/>
  <cols>
    <col min="1" max="1" width="10.0833333333333" style="80" customWidth="1"/>
    <col min="2" max="2" width="7.325" style="80" customWidth="1"/>
    <col min="3" max="3" width="16.1166666666667" style="80" customWidth="1"/>
    <col min="4" max="4" width="12.5833333333333" style="80" customWidth="1"/>
    <col min="5" max="5" width="9.56666666666667" style="81" customWidth="1"/>
    <col min="6" max="6" width="7.33333333333333" style="80" customWidth="1"/>
    <col min="7" max="7" width="14.3083333333333" style="80" customWidth="1"/>
    <col min="8" max="8" width="18.7833333333333" style="82" customWidth="1"/>
    <col min="9" max="9" width="12.75" style="80" customWidth="1"/>
    <col min="10" max="10" width="14.8333333333333" style="80" customWidth="1"/>
    <col min="11" max="11" width="10.5" style="80" customWidth="1"/>
    <col min="12" max="12" width="11.5833333333333" style="80" customWidth="1"/>
    <col min="13" max="16384" width="9" style="80" customWidth="1"/>
  </cols>
  <sheetData>
    <row r="1" ht="24" customHeight="1" spans="1:12">
      <c r="A1" s="83" t="s">
        <v>67</v>
      </c>
    </row>
    <row r="2" ht="14.25" customHeight="1" spans="1:12">
      <c r="A2" s="84" t="s">
        <v>68</v>
      </c>
    </row>
    <row r="3" ht="32" customHeight="1" spans="1:12">
      <c r="A3" s="85" t="s">
        <v>69</v>
      </c>
      <c r="B3" s="86"/>
      <c r="C3" s="87" t="s">
        <v>70</v>
      </c>
      <c r="G3" s="88" t="s">
        <v>71</v>
      </c>
      <c r="H3" s="89"/>
    </row>
    <row r="4" ht="22" customHeight="1" spans="1:12">
      <c r="A4" s="90" t="s">
        <v>72</v>
      </c>
      <c r="B4" s="86"/>
      <c r="C4" s="86"/>
      <c r="G4" s="88" t="s">
        <v>73</v>
      </c>
      <c r="H4" s="91"/>
    </row>
    <row r="5" ht="34" customHeight="1" spans="1:12">
      <c r="A5" s="85" t="s">
        <v>74</v>
      </c>
      <c r="B5" s="86"/>
      <c r="C5" s="87" t="s">
        <v>75</v>
      </c>
      <c r="G5" s="88" t="s">
        <v>76</v>
      </c>
      <c r="H5" s="92" t="s">
        <v>77</v>
      </c>
    </row>
    <row r="6" spans="1:12">
      <c r="A6" s="93"/>
      <c r="B6" s="86"/>
      <c r="C6" s="86"/>
      <c r="D6" s="94"/>
      <c r="E6" s="95"/>
      <c r="F6" s="86"/>
      <c r="G6" s="86"/>
      <c r="H6" s="96"/>
    </row>
    <row r="7" ht="12.75" customHeight="1" spans="1:12">
      <c r="A7" s="97"/>
      <c r="B7" s="98"/>
      <c r="C7" s="98"/>
      <c r="D7" s="98"/>
      <c r="E7" s="99"/>
      <c r="F7" s="98"/>
      <c r="G7" s="98"/>
      <c r="H7" s="100"/>
    </row>
    <row r="8" spans="1:12">
      <c r="A8" s="93"/>
      <c r="B8" s="86"/>
      <c r="C8" s="101"/>
      <c r="G8" s="88" t="s">
        <v>78</v>
      </c>
      <c r="H8" s="96"/>
    </row>
    <row r="9" ht="15.75" customHeight="1" spans="1:12">
      <c r="A9" s="93"/>
      <c r="B9" s="86"/>
      <c r="G9" s="88" t="s">
        <v>79</v>
      </c>
      <c r="H9" s="102"/>
    </row>
    <row r="10" spans="1:12">
      <c r="A10" s="93"/>
      <c r="B10" s="86"/>
      <c r="C10" s="86"/>
      <c r="D10" s="86"/>
      <c r="E10" s="95"/>
      <c r="F10" s="86"/>
      <c r="G10" s="103"/>
    </row>
    <row r="11" ht="19.5" customHeight="1" spans="1:12">
      <c r="A11" s="104" t="s">
        <v>80</v>
      </c>
      <c r="B11" s="85" t="s">
        <v>81</v>
      </c>
      <c r="C11" s="105" t="s">
        <v>2</v>
      </c>
      <c r="G11" s="106"/>
      <c r="H11" s="107"/>
      <c r="J11" s="108"/>
      <c r="K11" s="108"/>
      <c r="L11" s="108"/>
    </row>
    <row r="12" ht="19.5" customHeight="1" spans="1:12">
      <c r="A12" s="104" t="s">
        <v>82</v>
      </c>
      <c r="B12" s="104" t="s">
        <v>83</v>
      </c>
      <c r="C12" s="105"/>
      <c r="G12" s="106"/>
      <c r="H12" s="109"/>
      <c r="J12" s="108"/>
      <c r="K12" s="108"/>
      <c r="L12" s="108"/>
    </row>
    <row r="13" ht="27" customHeight="1" spans="1:12">
      <c r="A13" s="93"/>
    </row>
    <row r="14" spans="1:12">
      <c r="A14" s="93"/>
      <c r="E14" s="95"/>
    </row>
    <row r="15" ht="15.75" customHeight="1" spans="1:12">
      <c r="A15" s="110" t="s">
        <v>84</v>
      </c>
      <c r="H15" s="96"/>
    </row>
    <row r="16" ht="12.75" customHeight="1" spans="1:12">
      <c r="A16" s="111" t="s">
        <v>85</v>
      </c>
    </row>
    <row r="17" ht="12" customHeight="1" spans="1:13">
      <c r="A17" s="112" t="s">
        <v>86</v>
      </c>
      <c r="E17" s="113"/>
      <c r="H17" s="114"/>
      <c r="J17" s="115"/>
      <c r="K17" s="115"/>
      <c r="L17" s="115"/>
      <c r="M17" s="115"/>
    </row>
    <row r="18" ht="27.75" customHeight="1" spans="1:13">
      <c r="A18" s="116" t="s">
        <v>87</v>
      </c>
      <c r="B18" s="117"/>
      <c r="C18" s="118" t="s">
        <v>88</v>
      </c>
      <c r="D18" s="60"/>
      <c r="E18" s="116" t="s">
        <v>89</v>
      </c>
      <c r="F18" s="117"/>
      <c r="G18" s="116" t="s">
        <v>90</v>
      </c>
      <c r="H18" s="119" t="s">
        <v>91</v>
      </c>
    </row>
    <row r="19" ht="21.75" customHeight="1" spans="1:13">
      <c r="A19" s="116" t="s">
        <v>3</v>
      </c>
      <c r="B19" s="117"/>
      <c r="C19" s="118" t="s">
        <v>92</v>
      </c>
      <c r="D19" s="60"/>
      <c r="E19" s="116" t="s">
        <v>93</v>
      </c>
      <c r="F19" s="117"/>
      <c r="G19" s="116" t="s">
        <v>48</v>
      </c>
      <c r="H19" s="119" t="s">
        <v>94</v>
      </c>
    </row>
    <row r="20" ht="20.25" customHeight="1" spans="1:13">
      <c r="A20" s="120"/>
      <c r="B20" s="120"/>
      <c r="C20" s="121" t="s">
        <v>57</v>
      </c>
      <c r="D20" s="116" t="s">
        <v>59</v>
      </c>
      <c r="E20" s="122"/>
      <c r="F20" s="123" t="s">
        <v>95</v>
      </c>
      <c r="G20" s="117"/>
      <c r="H20" s="119" t="s">
        <v>96</v>
      </c>
      <c r="I20" s="124"/>
    </row>
    <row r="21" ht="49" customHeight="1" spans="1:13">
      <c r="A21" s="125">
        <v>1</v>
      </c>
      <c r="B21" s="120"/>
      <c r="C21" s="126" t="s">
        <v>20</v>
      </c>
      <c r="D21" s="127" t="s">
        <v>22</v>
      </c>
      <c r="E21" s="128" t="s">
        <v>97</v>
      </c>
      <c r="F21" s="129">
        <v>1</v>
      </c>
      <c r="G21" s="130">
        <v>5300</v>
      </c>
      <c r="H21" s="130">
        <v>5300</v>
      </c>
      <c r="I21" s="131"/>
      <c r="J21" s="132"/>
      <c r="K21" s="133"/>
      <c r="L21" s="133"/>
      <c r="M21" s="134"/>
    </row>
    <row r="22" ht="49" customHeight="1" spans="1:13">
      <c r="A22" s="125">
        <v>2</v>
      </c>
      <c r="B22" s="120"/>
      <c r="C22" s="126" t="s">
        <v>24</v>
      </c>
      <c r="D22" s="127" t="s">
        <v>22</v>
      </c>
      <c r="E22" s="128" t="s">
        <v>97</v>
      </c>
      <c r="F22" s="129">
        <v>1</v>
      </c>
      <c r="G22" s="130">
        <v>150</v>
      </c>
      <c r="H22" s="130">
        <v>150</v>
      </c>
      <c r="I22" s="131"/>
      <c r="J22" s="132"/>
      <c r="K22" s="133"/>
      <c r="L22" s="133"/>
      <c r="M22" s="134"/>
    </row>
    <row r="23" ht="49" customHeight="1" spans="1:13">
      <c r="A23" s="125">
        <v>3</v>
      </c>
      <c r="B23" s="120"/>
      <c r="C23" s="126" t="s">
        <v>26</v>
      </c>
      <c r="D23" s="127" t="s">
        <v>22</v>
      </c>
      <c r="E23" s="128" t="s">
        <v>97</v>
      </c>
      <c r="F23" s="129">
        <v>1</v>
      </c>
      <c r="G23" s="130">
        <v>450</v>
      </c>
      <c r="H23" s="130">
        <v>450</v>
      </c>
      <c r="I23" s="131"/>
      <c r="J23" s="132"/>
      <c r="K23" s="133"/>
      <c r="L23" s="133"/>
      <c r="M23" s="134"/>
    </row>
    <row r="24" ht="49" customHeight="1" spans="1:13">
      <c r="A24" s="125">
        <v>4</v>
      </c>
      <c r="B24" s="120"/>
      <c r="C24" s="126" t="s">
        <v>27</v>
      </c>
      <c r="D24" s="127" t="s">
        <v>22</v>
      </c>
      <c r="E24" s="128" t="s">
        <v>97</v>
      </c>
      <c r="F24" s="129">
        <v>1</v>
      </c>
      <c r="G24" s="130">
        <v>120</v>
      </c>
      <c r="H24" s="130">
        <v>120</v>
      </c>
      <c r="I24" s="131"/>
      <c r="J24" s="132"/>
      <c r="K24" s="133"/>
      <c r="L24" s="133"/>
      <c r="M24" s="134"/>
    </row>
    <row r="25" ht="49" customHeight="1" spans="1:13">
      <c r="A25" s="125">
        <v>5</v>
      </c>
      <c r="B25" s="120"/>
      <c r="C25" s="126" t="s">
        <v>29</v>
      </c>
      <c r="D25" s="127" t="s">
        <v>22</v>
      </c>
      <c r="E25" s="128" t="s">
        <v>97</v>
      </c>
      <c r="F25" s="129">
        <v>1</v>
      </c>
      <c r="G25" s="130">
        <v>600</v>
      </c>
      <c r="H25" s="130">
        <v>600</v>
      </c>
      <c r="I25" s="131"/>
      <c r="J25" s="132"/>
      <c r="K25" s="133"/>
      <c r="L25" s="133"/>
      <c r="M25" s="134"/>
    </row>
    <row r="26" ht="49" customHeight="1" spans="1:13">
      <c r="A26" s="125">
        <v>6</v>
      </c>
      <c r="B26" s="120"/>
      <c r="C26" s="126" t="s">
        <v>30</v>
      </c>
      <c r="D26" s="127" t="s">
        <v>22</v>
      </c>
      <c r="E26" s="128" t="s">
        <v>97</v>
      </c>
      <c r="F26" s="129">
        <v>1</v>
      </c>
      <c r="G26" s="130">
        <v>200</v>
      </c>
      <c r="H26" s="130">
        <v>200</v>
      </c>
      <c r="I26" s="131"/>
      <c r="J26" s="132"/>
      <c r="K26" s="133"/>
      <c r="L26" s="133"/>
      <c r="M26" s="134"/>
    </row>
    <row r="27" ht="49" customHeight="1" spans="1:13">
      <c r="A27" s="125">
        <v>7</v>
      </c>
      <c r="B27" s="120"/>
      <c r="C27" s="126" t="s">
        <v>31</v>
      </c>
      <c r="D27" s="127" t="s">
        <v>22</v>
      </c>
      <c r="E27" s="128" t="s">
        <v>97</v>
      </c>
      <c r="F27" s="129">
        <v>0</v>
      </c>
      <c r="G27" s="130">
        <v>5300</v>
      </c>
      <c r="H27" s="130">
        <v>0</v>
      </c>
      <c r="I27" s="131"/>
      <c r="J27" s="132"/>
      <c r="K27" s="133"/>
      <c r="L27" s="133"/>
      <c r="M27" s="134"/>
    </row>
    <row r="28" ht="49" customHeight="1" spans="1:13">
      <c r="A28" s="125">
        <v>8</v>
      </c>
      <c r="B28" s="120"/>
      <c r="C28" s="126" t="s">
        <v>32</v>
      </c>
      <c r="D28" s="127" t="s">
        <v>22</v>
      </c>
      <c r="E28" s="128" t="s">
        <v>97</v>
      </c>
      <c r="F28" s="129">
        <v>0</v>
      </c>
      <c r="G28" s="130">
        <v>150</v>
      </c>
      <c r="H28" s="130">
        <v>0</v>
      </c>
      <c r="I28" s="131"/>
      <c r="J28" s="132"/>
      <c r="K28" s="133"/>
      <c r="L28" s="133"/>
      <c r="M28" s="134"/>
    </row>
    <row r="29" ht="49" customHeight="1" spans="1:13">
      <c r="A29" s="125">
        <v>9</v>
      </c>
      <c r="B29" s="120"/>
      <c r="C29" s="126" t="s">
        <v>33</v>
      </c>
      <c r="D29" s="127" t="s">
        <v>22</v>
      </c>
      <c r="E29" s="128" t="s">
        <v>97</v>
      </c>
      <c r="F29" s="129">
        <v>0</v>
      </c>
      <c r="G29" s="130">
        <v>120</v>
      </c>
      <c r="H29" s="130">
        <v>0</v>
      </c>
      <c r="I29" s="131"/>
      <c r="J29" s="132"/>
      <c r="K29" s="133"/>
      <c r="L29" s="133"/>
      <c r="M29" s="134"/>
    </row>
    <row r="30" ht="49" customHeight="1" spans="1:13">
      <c r="A30" s="125">
        <v>10</v>
      </c>
      <c r="B30" s="120"/>
      <c r="C30" s="126" t="s">
        <v>34</v>
      </c>
      <c r="D30" s="127" t="s">
        <v>22</v>
      </c>
      <c r="E30" s="128" t="s">
        <v>97</v>
      </c>
      <c r="F30" s="129">
        <v>0</v>
      </c>
      <c r="G30" s="130">
        <v>600</v>
      </c>
      <c r="H30" s="130">
        <v>0</v>
      </c>
      <c r="I30" s="131"/>
      <c r="J30" s="132"/>
      <c r="K30" s="133"/>
      <c r="L30" s="133"/>
      <c r="M30" s="134"/>
    </row>
    <row r="31" ht="49" customHeight="1" spans="1:13">
      <c r="A31" s="125">
        <v>11</v>
      </c>
      <c r="B31" s="120"/>
      <c r="C31" s="126" t="s">
        <v>35</v>
      </c>
      <c r="D31" s="127" t="s">
        <v>22</v>
      </c>
      <c r="E31" s="128" t="s">
        <v>97</v>
      </c>
      <c r="F31" s="129">
        <v>0</v>
      </c>
      <c r="G31" s="130">
        <v>200</v>
      </c>
      <c r="H31" s="130">
        <v>0</v>
      </c>
      <c r="I31" s="131"/>
      <c r="J31" s="132"/>
      <c r="K31" s="133"/>
      <c r="L31" s="133"/>
      <c r="M31" s="134"/>
    </row>
    <row r="32" ht="21" customHeight="1" spans="1:13">
      <c r="A32" s="135"/>
      <c r="B32" s="135"/>
      <c r="C32" s="135"/>
      <c r="D32" s="136"/>
      <c r="E32" s="137"/>
      <c r="F32" s="138"/>
      <c r="G32" s="139" t="s">
        <v>36</v>
      </c>
      <c r="H32" s="140">
        <f>SUM(H21:H31)</f>
        <v>6820</v>
      </c>
      <c r="I32" s="131"/>
      <c r="J32" s="141"/>
      <c r="K32" s="133"/>
      <c r="L32" s="142"/>
      <c r="M32" s="143"/>
    </row>
    <row r="33" ht="19.5" customHeight="1" spans="1:13">
      <c r="A33" s="144" t="s">
        <v>98</v>
      </c>
      <c r="B33" s="144" t="s">
        <v>23</v>
      </c>
      <c r="C33" s="145"/>
      <c r="D33" s="136"/>
      <c r="E33" s="146"/>
      <c r="F33" s="136"/>
      <c r="G33" s="136"/>
      <c r="H33" s="147"/>
      <c r="I33" s="148"/>
      <c r="J33" s="143"/>
      <c r="K33" s="143"/>
      <c r="L33" s="142"/>
      <c r="M33" s="143"/>
    </row>
    <row r="34" ht="19.5" customHeight="1" spans="1:13">
      <c r="A34" s="144" t="s">
        <v>99</v>
      </c>
      <c r="B34" s="144" t="s">
        <v>100</v>
      </c>
      <c r="C34" s="136"/>
      <c r="D34" s="149"/>
      <c r="E34" s="146"/>
      <c r="F34" s="136"/>
      <c r="G34" s="136"/>
      <c r="H34" s="150"/>
      <c r="I34" s="148"/>
      <c r="J34" s="143"/>
      <c r="K34" s="143"/>
      <c r="L34" s="143"/>
      <c r="M34" s="143"/>
    </row>
    <row r="35" ht="19.5" customHeight="1" spans="1:13">
      <c r="A35" s="144" t="s">
        <v>101</v>
      </c>
      <c r="B35" s="136"/>
      <c r="C35" s="136"/>
      <c r="D35" s="136"/>
      <c r="E35" s="151" t="s">
        <v>102</v>
      </c>
      <c r="F35" s="152" t="s">
        <v>53</v>
      </c>
      <c r="G35" s="153"/>
      <c r="H35" s="131"/>
      <c r="I35" s="148"/>
      <c r="J35" s="148"/>
      <c r="K35" s="148"/>
      <c r="L35" s="154"/>
      <c r="M35" s="136"/>
    </row>
    <row r="36" ht="19.5" customHeight="1" spans="1:13">
      <c r="A36" s="144" t="s">
        <v>103</v>
      </c>
      <c r="B36" s="136"/>
      <c r="C36" s="136"/>
      <c r="D36" s="136"/>
      <c r="E36" s="146"/>
      <c r="F36" s="136"/>
      <c r="G36" s="136"/>
      <c r="H36" s="131"/>
      <c r="I36" s="136"/>
      <c r="J36" s="136"/>
      <c r="K36" s="136"/>
      <c r="L36" s="136"/>
      <c r="M36" s="136"/>
    </row>
    <row r="37" ht="19.5" customHeight="1" spans="1:13">
      <c r="A37" s="112" t="s">
        <v>104</v>
      </c>
      <c r="B37" s="136"/>
      <c r="C37" s="136"/>
      <c r="D37" s="136"/>
      <c r="E37" s="155"/>
      <c r="F37" s="136"/>
      <c r="G37" s="136"/>
      <c r="H37" s="131"/>
      <c r="I37" s="136"/>
      <c r="J37" s="136"/>
      <c r="K37" s="136"/>
      <c r="L37" s="136"/>
      <c r="M37" s="136"/>
    </row>
    <row r="38" ht="19.5" customHeight="1" spans="1:13">
      <c r="A38" s="144" t="s">
        <v>105</v>
      </c>
      <c r="B38" s="156" t="s">
        <v>106</v>
      </c>
      <c r="C38" s="136"/>
      <c r="D38" s="136"/>
      <c r="E38" s="146"/>
      <c r="F38" s="136"/>
      <c r="G38" s="136"/>
      <c r="H38" s="131"/>
      <c r="I38" s="136"/>
      <c r="J38" s="136"/>
      <c r="K38" s="136"/>
      <c r="L38" s="136"/>
      <c r="M38" s="136"/>
    </row>
    <row r="39" ht="20.25" customHeight="1" spans="1:13">
      <c r="A39" s="144" t="s">
        <v>107</v>
      </c>
      <c r="B39" s="157" t="s">
        <v>108</v>
      </c>
      <c r="C39" s="136"/>
      <c r="D39" s="136"/>
      <c r="E39" s="146"/>
      <c r="F39" s="136"/>
      <c r="G39" s="136"/>
      <c r="H39" s="158"/>
      <c r="I39" s="136"/>
      <c r="J39" s="136"/>
      <c r="K39" s="136"/>
      <c r="L39" s="136"/>
      <c r="M39" s="136"/>
    </row>
    <row r="40" ht="20.25" customHeight="1" spans="1:13">
      <c r="A40" s="144" t="s">
        <v>109</v>
      </c>
      <c r="B40" s="136"/>
      <c r="C40" s="136"/>
      <c r="D40" s="136"/>
      <c r="E40" s="146"/>
      <c r="F40" s="136"/>
      <c r="G40" s="136"/>
      <c r="H40" s="158"/>
      <c r="I40" s="136"/>
      <c r="J40" s="136"/>
      <c r="K40" s="136"/>
      <c r="L40" s="136"/>
      <c r="M40" s="136"/>
    </row>
    <row r="41" ht="20.25" customHeight="1" spans="1:13">
      <c r="A41" s="144" t="s">
        <v>110</v>
      </c>
      <c r="B41" s="144" t="s">
        <v>111</v>
      </c>
      <c r="C41" s="136"/>
      <c r="D41" s="136"/>
      <c r="E41" s="146"/>
      <c r="F41" s="136"/>
      <c r="G41" s="136"/>
      <c r="H41" s="158"/>
      <c r="I41" s="136"/>
      <c r="J41" s="136"/>
      <c r="K41" s="136"/>
      <c r="L41" s="136"/>
      <c r="M41" s="136"/>
    </row>
    <row r="42" ht="20.25" customHeight="1" spans="1:13">
      <c r="A42" s="159" t="s">
        <v>112</v>
      </c>
      <c r="B42" s="136"/>
      <c r="C42" s="136"/>
      <c r="D42" s="144" t="s">
        <v>113</v>
      </c>
      <c r="E42" s="146"/>
      <c r="F42" s="136"/>
      <c r="G42" s="136"/>
      <c r="H42" s="158"/>
      <c r="I42" s="136"/>
      <c r="J42" s="136"/>
      <c r="K42" s="136"/>
      <c r="L42" s="136"/>
      <c r="M42" s="136"/>
    </row>
    <row r="43" ht="20.25" customHeight="1" spans="1:13">
      <c r="A43" s="144" t="s">
        <v>114</v>
      </c>
      <c r="B43" s="144" t="s">
        <v>115</v>
      </c>
      <c r="C43" s="136"/>
      <c r="D43" s="136"/>
      <c r="E43" s="146"/>
      <c r="F43" s="136"/>
      <c r="G43" s="136"/>
      <c r="H43" s="158"/>
      <c r="I43" s="136"/>
      <c r="J43" s="136"/>
      <c r="K43" s="136"/>
      <c r="L43" s="136"/>
      <c r="M43" s="136"/>
    </row>
    <row r="44" ht="20.25" customHeight="1" spans="1:13">
      <c r="A44" s="136"/>
      <c r="B44" s="136"/>
      <c r="C44" s="136"/>
      <c r="D44" s="136"/>
      <c r="E44" s="146"/>
      <c r="F44" s="136"/>
      <c r="G44" s="136"/>
      <c r="H44" s="158"/>
      <c r="I44" s="136"/>
      <c r="J44" s="136"/>
      <c r="K44" s="136"/>
      <c r="L44" s="136"/>
      <c r="M44" s="136"/>
    </row>
    <row r="45" ht="14.25" customHeight="1" spans="1:13">
      <c r="A45" s="136"/>
      <c r="B45" s="136"/>
      <c r="C45" s="136"/>
      <c r="D45" s="136"/>
      <c r="E45" s="146"/>
      <c r="F45" s="136"/>
      <c r="G45" s="136"/>
      <c r="H45" s="158"/>
      <c r="I45" s="136"/>
      <c r="J45" s="136"/>
      <c r="K45" s="136"/>
      <c r="L45" s="136"/>
      <c r="M45" s="136"/>
    </row>
    <row r="46" ht="16.5" customHeight="1" spans="1:13">
      <c r="A46" s="160" t="s">
        <v>116</v>
      </c>
      <c r="B46" s="161" t="s">
        <v>81</v>
      </c>
      <c r="C46" s="162"/>
      <c r="D46" s="136"/>
      <c r="E46" s="146"/>
      <c r="F46" s="160" t="s">
        <v>117</v>
      </c>
      <c r="G46" s="161" t="s">
        <v>118</v>
      </c>
      <c r="H46" s="163"/>
      <c r="I46" s="136"/>
      <c r="J46" s="136"/>
      <c r="K46" s="136"/>
      <c r="L46" s="136"/>
      <c r="M46" s="136"/>
    </row>
    <row r="47" ht="14.25" spans="1:13">
      <c r="A47" s="136"/>
      <c r="B47" s="136"/>
      <c r="C47" s="136"/>
      <c r="D47" s="136"/>
      <c r="E47" s="164"/>
      <c r="F47" s="136"/>
      <c r="G47" s="136"/>
      <c r="H47" s="136"/>
      <c r="I47" s="136"/>
      <c r="J47" s="136"/>
      <c r="K47" s="136"/>
      <c r="L47" s="136"/>
      <c r="M47" s="136"/>
    </row>
    <row r="48" ht="14.25" spans="1:13">
      <c r="A48" s="136"/>
      <c r="B48" s="136"/>
      <c r="C48" s="136"/>
      <c r="D48" s="136"/>
      <c r="E48" s="164"/>
      <c r="F48" s="136"/>
      <c r="G48" s="136"/>
      <c r="H48" s="136"/>
      <c r="I48" s="136"/>
      <c r="J48" s="136"/>
      <c r="K48" s="136"/>
      <c r="L48" s="136"/>
      <c r="M48" s="136"/>
    </row>
    <row r="49" ht="18.75" customHeight="1" spans="1:13">
      <c r="A49" s="136"/>
      <c r="B49" s="136"/>
      <c r="C49" s="136"/>
      <c r="D49" s="136"/>
      <c r="E49" s="164"/>
      <c r="F49" s="136"/>
      <c r="G49" s="136"/>
      <c r="H49" s="165"/>
      <c r="I49" s="136"/>
      <c r="J49" s="136"/>
      <c r="K49" s="136"/>
      <c r="L49" s="136"/>
      <c r="M49" s="136"/>
    </row>
    <row r="50" ht="18.75" customHeight="1" spans="1:13">
      <c r="A50" s="136"/>
      <c r="B50" s="136"/>
      <c r="C50" s="136"/>
      <c r="D50" s="136"/>
      <c r="E50" s="164"/>
      <c r="F50" s="136"/>
      <c r="G50" s="136"/>
      <c r="H50" s="166"/>
      <c r="I50" s="136"/>
      <c r="J50" s="136"/>
      <c r="K50" s="136"/>
      <c r="L50" s="136"/>
      <c r="M50" s="136"/>
    </row>
    <row r="51" ht="18.75" customHeight="1" spans="1:13">
      <c r="A51" s="136"/>
      <c r="B51" s="136"/>
      <c r="C51" s="136"/>
      <c r="D51" s="136"/>
      <c r="E51" s="164"/>
      <c r="F51" s="136"/>
      <c r="G51" s="136"/>
      <c r="H51" s="167"/>
      <c r="I51" s="136"/>
      <c r="J51" s="136"/>
      <c r="K51" s="136"/>
      <c r="L51" s="136"/>
      <c r="M51" s="136"/>
    </row>
  </sheetData>
  <mergeCells count="18">
    <mergeCell ref="A1:H1"/>
    <mergeCell ref="A2:H2"/>
    <mergeCell ref="C3:F3"/>
    <mergeCell ref="C4:F4"/>
    <mergeCell ref="C5:F5"/>
    <mergeCell ref="G10:H10"/>
    <mergeCell ref="C11:F11"/>
    <mergeCell ref="A15:F15"/>
    <mergeCell ref="A16:H16"/>
    <mergeCell ref="A18:B18"/>
    <mergeCell ref="C18:D18"/>
    <mergeCell ref="E18:F18"/>
    <mergeCell ref="A19:B19"/>
    <mergeCell ref="C19:D19"/>
    <mergeCell ref="E19:F19"/>
    <mergeCell ref="F20:G20"/>
    <mergeCell ref="C12:F13"/>
    <mergeCell ref="C8:F9"/>
  </mergeCells>
  <printOptions horizontalCentered="1"/>
  <pageMargins left="0.196850393700787" right="0.236220472440945" top="0.196850393700787" bottom="0.196850393700787" header="0.236220472440945" footer="0.236220472440945"/>
  <pageSetup paperSize="9" scale="86" orientation="landscape"/>
  <headerFooter/>
  <rowBreaks count="1" manualBreakCount="1">
    <brk id="4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6"/>
  <sheetViews>
    <sheetView view="pageBreakPreview" zoomScaleNormal="160" workbookViewId="0">
      <selection activeCell="D27" sqref="D26:D27"/>
    </sheetView>
  </sheetViews>
  <sheetFormatPr defaultColWidth="9" defaultRowHeight="14.25"/>
  <cols>
    <col min="2" max="3" width="6.83333333333333" customWidth="1"/>
    <col min="4" max="4" width="19.625" customWidth="1"/>
    <col min="5" max="6" width="8.25" customWidth="1"/>
    <col min="7" max="7" width="12.5" customWidth="1"/>
    <col min="8" max="8" width="9.33333333333333" customWidth="1"/>
    <col min="9" max="9" width="5.83333333333333" customWidth="1"/>
    <col min="10" max="10" width="10.3333333333333" customWidth="1"/>
    <col min="11" max="11" width="5.58333333333333" customWidth="1"/>
    <col min="12" max="12" width="9.08333333333333" customWidth="1"/>
    <col min="13" max="13" width="12.3333333333333" customWidth="1"/>
    <col min="14" max="15" width="6.25" customWidth="1"/>
    <col min="16" max="16" width="8.33333333333333" customWidth="1"/>
    <col min="18" max="18" width="10.25" customWidth="1"/>
  </cols>
  <sheetData>
    <row r="1" spans="1:16">
      <c r="A1" s="1" t="s">
        <v>119</v>
      </c>
    </row>
    <row r="4" ht="11.25" customHeight="1" spans="1:16">
      <c r="A4" s="2" t="s">
        <v>120</v>
      </c>
      <c r="B4" s="3"/>
      <c r="C4" s="3"/>
      <c r="D4" s="3"/>
      <c r="E4" s="2" t="s">
        <v>121</v>
      </c>
      <c r="F4" s="3"/>
      <c r="G4" s="3"/>
      <c r="H4" s="2" t="s">
        <v>122</v>
      </c>
      <c r="I4" s="3"/>
      <c r="J4" s="4"/>
      <c r="K4" s="4"/>
      <c r="L4" s="4"/>
      <c r="M4" s="4"/>
      <c r="N4" s="4"/>
      <c r="O4" s="4" t="s">
        <v>123</v>
      </c>
      <c r="P4" s="3"/>
    </row>
    <row r="5" ht="11.25" customHeight="1" spans="1:16">
      <c r="A5" s="5" t="s">
        <v>124</v>
      </c>
      <c r="B5" s="6"/>
      <c r="C5" s="6"/>
      <c r="D5" s="7"/>
      <c r="E5" s="8" t="s">
        <v>125</v>
      </c>
      <c r="F5" s="6"/>
      <c r="G5" s="7"/>
      <c r="H5" s="8" t="s">
        <v>126</v>
      </c>
      <c r="I5" s="6"/>
      <c r="J5" s="7"/>
      <c r="K5" s="8" t="s">
        <v>127</v>
      </c>
      <c r="L5" s="6"/>
      <c r="M5" s="7"/>
      <c r="N5" s="9" t="s">
        <v>128</v>
      </c>
      <c r="O5" s="6"/>
      <c r="P5" s="10"/>
    </row>
    <row r="6" spans="1:16">
      <c r="A6" s="11" t="s">
        <v>70</v>
      </c>
      <c r="B6" s="12"/>
      <c r="C6" s="12"/>
      <c r="D6" s="13"/>
      <c r="E6" s="14" t="s">
        <v>22</v>
      </c>
      <c r="F6" s="12"/>
      <c r="G6" s="13"/>
      <c r="H6" s="14"/>
      <c r="I6" s="12"/>
      <c r="J6" s="13"/>
      <c r="K6" s="14"/>
      <c r="L6" s="12"/>
      <c r="M6" s="13"/>
      <c r="N6" s="15"/>
      <c r="O6" s="12"/>
      <c r="P6" s="16"/>
    </row>
    <row r="7" ht="11.25" customHeight="1" spans="1:16">
      <c r="A7" s="17" t="s">
        <v>129</v>
      </c>
      <c r="B7" s="18"/>
      <c r="C7" s="18"/>
      <c r="D7" s="19"/>
      <c r="E7" s="20" t="s">
        <v>130</v>
      </c>
      <c r="F7" s="18"/>
      <c r="G7" s="19"/>
      <c r="H7" s="20" t="s">
        <v>131</v>
      </c>
      <c r="I7" s="18"/>
      <c r="J7" s="19"/>
      <c r="K7" s="21" t="s">
        <v>132</v>
      </c>
      <c r="L7" s="18"/>
      <c r="M7" s="18"/>
      <c r="N7" s="18"/>
      <c r="O7" s="18"/>
      <c r="P7" s="22"/>
    </row>
    <row r="8" ht="24" customHeight="1" spans="1:16">
      <c r="A8" s="11" t="s">
        <v>2</v>
      </c>
      <c r="B8" s="12"/>
      <c r="C8" s="12"/>
      <c r="D8" s="13"/>
      <c r="E8" s="23" t="s">
        <v>133</v>
      </c>
      <c r="F8" s="12"/>
      <c r="G8" s="13"/>
      <c r="H8" s="14"/>
      <c r="I8" s="12"/>
      <c r="J8" s="13"/>
      <c r="K8" s="15"/>
      <c r="L8" s="12"/>
      <c r="M8" s="12"/>
      <c r="N8" s="12"/>
      <c r="O8" s="12"/>
      <c r="P8" s="16"/>
    </row>
    <row r="9" ht="11.25" customHeight="1" spans="1:16">
      <c r="A9" s="17" t="s">
        <v>134</v>
      </c>
      <c r="B9" s="18"/>
      <c r="C9" s="18"/>
      <c r="D9" s="19"/>
      <c r="E9" s="20" t="s">
        <v>135</v>
      </c>
      <c r="F9" s="18"/>
      <c r="G9" s="19"/>
      <c r="H9" s="20" t="s">
        <v>136</v>
      </c>
      <c r="I9" s="18"/>
      <c r="J9" s="19"/>
      <c r="K9" s="21" t="s">
        <v>137</v>
      </c>
      <c r="L9" s="18"/>
      <c r="M9" s="18"/>
      <c r="N9" s="18"/>
      <c r="O9" s="18"/>
      <c r="P9" s="22"/>
    </row>
    <row r="10" spans="1:16">
      <c r="A10" s="24" t="str">
        <f>A6</f>
        <v>1</v>
      </c>
      <c r="B10" s="12"/>
      <c r="C10" s="12"/>
      <c r="D10" s="13"/>
      <c r="E10" s="23" t="s">
        <v>138</v>
      </c>
      <c r="F10" s="12"/>
      <c r="G10" s="13"/>
      <c r="H10" s="23" t="s">
        <v>139</v>
      </c>
      <c r="I10" s="12"/>
      <c r="J10" s="13"/>
      <c r="K10" s="15"/>
      <c r="L10" s="12"/>
      <c r="M10" s="12"/>
      <c r="N10" s="12"/>
      <c r="O10" s="12"/>
      <c r="P10" s="16"/>
    </row>
    <row r="11" ht="15" customHeight="1" spans="1:16">
      <c r="A11" s="17" t="s">
        <v>140</v>
      </c>
      <c r="B11" s="18"/>
      <c r="C11" s="18"/>
      <c r="D11" s="19"/>
      <c r="E11" s="20" t="s">
        <v>141</v>
      </c>
      <c r="F11" s="18"/>
      <c r="G11" s="19"/>
      <c r="H11" s="20" t="s">
        <v>142</v>
      </c>
      <c r="I11" s="18"/>
      <c r="J11" s="19"/>
      <c r="K11" s="20" t="s">
        <v>143</v>
      </c>
      <c r="L11" s="18"/>
      <c r="M11" s="19"/>
      <c r="N11" s="21" t="s">
        <v>144</v>
      </c>
      <c r="O11" s="18"/>
      <c r="P11" s="22"/>
    </row>
    <row r="12" spans="1:16">
      <c r="A12" s="25" t="s">
        <v>22</v>
      </c>
      <c r="B12" s="12"/>
      <c r="C12" s="12"/>
      <c r="D12" s="13"/>
      <c r="E12" s="23" t="str">
        <f>销货确认书!F35</f>
        <v>AUSTRALIA</v>
      </c>
      <c r="F12" s="12"/>
      <c r="G12" s="13"/>
      <c r="H12" s="23" t="s">
        <v>145</v>
      </c>
      <c r="I12" s="12"/>
      <c r="J12" s="13"/>
      <c r="K12" s="23" t="s">
        <v>146</v>
      </c>
      <c r="L12" s="12"/>
      <c r="M12" s="13"/>
      <c r="N12" s="15" t="s">
        <v>147</v>
      </c>
      <c r="O12" s="12"/>
      <c r="P12" s="16"/>
    </row>
    <row r="13" ht="22.5" customHeight="1" spans="1:16">
      <c r="A13" s="17" t="s">
        <v>148</v>
      </c>
      <c r="B13" s="18"/>
      <c r="C13" s="18"/>
      <c r="D13" s="19"/>
      <c r="E13" s="20" t="s">
        <v>149</v>
      </c>
      <c r="F13" s="20" t="s">
        <v>150</v>
      </c>
      <c r="G13" s="19"/>
      <c r="H13" s="20" t="s">
        <v>151</v>
      </c>
      <c r="I13" s="19"/>
      <c r="J13" s="26" t="s">
        <v>152</v>
      </c>
      <c r="K13" s="20" t="s">
        <v>153</v>
      </c>
      <c r="L13" s="19"/>
      <c r="M13" s="20" t="s">
        <v>154</v>
      </c>
      <c r="N13" s="19"/>
      <c r="O13" s="21" t="s">
        <v>155</v>
      </c>
      <c r="P13" s="22"/>
    </row>
    <row r="14" spans="1:16">
      <c r="A14" s="11" t="s">
        <v>156</v>
      </c>
      <c r="B14" s="12"/>
      <c r="C14" s="12"/>
      <c r="D14" s="13"/>
      <c r="E14" s="23">
        <v>11</v>
      </c>
      <c r="F14" s="27">
        <v>3950</v>
      </c>
      <c r="G14" s="13"/>
      <c r="H14" s="27">
        <v>0</v>
      </c>
      <c r="I14" s="13"/>
      <c r="J14" s="23" t="s">
        <v>157</v>
      </c>
      <c r="K14" s="28"/>
      <c r="L14" s="13"/>
      <c r="M14" s="29"/>
      <c r="N14" s="13"/>
      <c r="O14" s="30"/>
      <c r="P14" s="16"/>
    </row>
    <row r="15" ht="11.25" customHeight="1" spans="1:16">
      <c r="A15" s="31" t="s">
        <v>158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</row>
    <row r="16" spans="1:16">
      <c r="A16" s="32" t="s">
        <v>159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</row>
    <row r="17" ht="15.75" customHeight="1" spans="1:16">
      <c r="A17" s="31" t="s">
        <v>160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</row>
    <row r="18" ht="36" customHeight="1" spans="1:16">
      <c r="A18" s="33" t="s">
        <v>108</v>
      </c>
      <c r="P18" s="34"/>
    </row>
    <row r="19" ht="17.25" customHeight="1" spans="1:16">
      <c r="A19" s="35" t="s">
        <v>161</v>
      </c>
      <c r="B19" s="36" t="s">
        <v>162</v>
      </c>
      <c r="C19" s="37"/>
      <c r="D19" s="38" t="s">
        <v>163</v>
      </c>
      <c r="E19" s="12"/>
      <c r="F19" s="12"/>
      <c r="G19" s="12"/>
      <c r="H19" s="38" t="s">
        <v>164</v>
      </c>
      <c r="I19" s="12"/>
      <c r="J19" s="38" t="s">
        <v>165</v>
      </c>
      <c r="K19" s="12"/>
      <c r="L19" s="38" t="s">
        <v>166</v>
      </c>
      <c r="M19" s="38" t="s">
        <v>167</v>
      </c>
      <c r="N19" s="38" t="s">
        <v>168</v>
      </c>
      <c r="O19" s="12"/>
      <c r="P19" s="39" t="s">
        <v>169</v>
      </c>
    </row>
    <row r="20" ht="15" customHeight="1" spans="1:16">
      <c r="A20" s="40">
        <v>1</v>
      </c>
      <c r="B20" s="41" t="s">
        <v>21</v>
      </c>
      <c r="C20" s="42"/>
      <c r="D20" s="43" t="str">
        <f>销货确认书!C21</f>
        <v>KUBOTA EXCAVATOR</v>
      </c>
      <c r="E20" s="44" t="s">
        <v>22</v>
      </c>
      <c r="F20" s="42"/>
      <c r="G20" s="44" t="s">
        <v>22</v>
      </c>
      <c r="H20" s="45" t="s">
        <v>97</v>
      </c>
      <c r="I20" s="45">
        <f>销货确认书!F21</f>
        <v>1</v>
      </c>
      <c r="J20" s="46">
        <v>5300</v>
      </c>
      <c r="K20" s="47" t="s">
        <v>170</v>
      </c>
      <c r="L20" s="41" t="s">
        <v>171</v>
      </c>
      <c r="M20" s="41" t="s">
        <v>53</v>
      </c>
      <c r="N20" s="41" t="s">
        <v>22</v>
      </c>
      <c r="O20" s="42"/>
      <c r="P20" s="48" t="s">
        <v>22</v>
      </c>
    </row>
    <row r="21" ht="15" customHeight="1" spans="1:16">
      <c r="A21" s="49"/>
      <c r="B21" s="50"/>
      <c r="C21" s="50"/>
      <c r="D21" s="12"/>
      <c r="E21" s="12"/>
      <c r="F21" s="12"/>
      <c r="G21" s="12"/>
      <c r="H21" s="51"/>
      <c r="I21" s="51"/>
      <c r="J21" s="52"/>
      <c r="K21" s="50"/>
      <c r="L21" s="50"/>
      <c r="M21" s="50"/>
      <c r="N21" s="50"/>
      <c r="O21" s="50"/>
      <c r="P21" s="16"/>
    </row>
    <row r="22" ht="15" customHeight="1" spans="1:16">
      <c r="A22" s="40">
        <v>2</v>
      </c>
      <c r="B22" s="41" t="s">
        <v>25</v>
      </c>
      <c r="C22" s="42"/>
      <c r="D22" s="43" t="str">
        <f>销货确认书!C22</f>
        <v>200MM BUCKET</v>
      </c>
      <c r="E22" s="44" t="s">
        <v>22</v>
      </c>
      <c r="F22" s="42"/>
      <c r="G22" s="44" t="s">
        <v>22</v>
      </c>
      <c r="H22" s="45" t="s">
        <v>97</v>
      </c>
      <c r="I22" s="45">
        <f>销货确认书!F22</f>
        <v>1</v>
      </c>
      <c r="J22" s="46">
        <v>150</v>
      </c>
      <c r="K22" s="47" t="s">
        <v>172</v>
      </c>
      <c r="L22" s="41" t="s">
        <v>171</v>
      </c>
      <c r="M22" s="41" t="s">
        <v>53</v>
      </c>
      <c r="N22" s="41" t="s">
        <v>22</v>
      </c>
      <c r="O22" s="42"/>
      <c r="P22" s="48" t="s">
        <v>22</v>
      </c>
    </row>
    <row r="23" ht="15" customHeight="1" spans="1:16">
      <c r="A23" s="49"/>
      <c r="B23" s="50"/>
      <c r="C23" s="50"/>
      <c r="D23" s="12"/>
      <c r="E23" s="12"/>
      <c r="F23" s="12"/>
      <c r="G23" s="12"/>
      <c r="H23" s="51"/>
      <c r="I23" s="51"/>
      <c r="J23" s="52"/>
      <c r="K23" s="50"/>
      <c r="L23" s="50"/>
      <c r="M23" s="50"/>
      <c r="N23" s="50"/>
      <c r="O23" s="50"/>
      <c r="P23" s="16"/>
    </row>
    <row r="24" ht="15" customHeight="1" spans="1:16">
      <c r="A24" s="40">
        <v>3</v>
      </c>
      <c r="B24" s="41" t="s">
        <v>25</v>
      </c>
      <c r="C24" s="42"/>
      <c r="D24" s="43" t="str">
        <f>销货确认书!C23</f>
        <v>1200MM BUCKET</v>
      </c>
      <c r="E24" s="44" t="s">
        <v>22</v>
      </c>
      <c r="F24" s="42"/>
      <c r="G24" s="44" t="s">
        <v>22</v>
      </c>
      <c r="H24" s="45" t="s">
        <v>97</v>
      </c>
      <c r="I24" s="45">
        <f>销货确认书!F23</f>
        <v>1</v>
      </c>
      <c r="J24" s="46">
        <v>450</v>
      </c>
      <c r="K24" s="47" t="s">
        <v>173</v>
      </c>
      <c r="L24" s="41" t="s">
        <v>171</v>
      </c>
      <c r="M24" s="41" t="s">
        <v>53</v>
      </c>
      <c r="N24" s="41" t="s">
        <v>22</v>
      </c>
      <c r="O24" s="42"/>
      <c r="P24" s="48" t="s">
        <v>22</v>
      </c>
    </row>
    <row r="25" ht="15" customHeight="1" spans="1:16">
      <c r="A25" s="49"/>
      <c r="B25" s="50"/>
      <c r="C25" s="50"/>
      <c r="D25" s="12"/>
      <c r="E25" s="12"/>
      <c r="F25" s="12"/>
      <c r="G25" s="12"/>
      <c r="H25" s="51"/>
      <c r="I25" s="51"/>
      <c r="J25" s="52"/>
      <c r="K25" s="50"/>
      <c r="L25" s="50"/>
      <c r="M25" s="50"/>
      <c r="N25" s="50"/>
      <c r="O25" s="50"/>
      <c r="P25" s="16"/>
    </row>
    <row r="26" ht="15" customHeight="1" spans="1:16">
      <c r="A26" s="40">
        <v>4</v>
      </c>
      <c r="B26" s="41" t="s">
        <v>28</v>
      </c>
      <c r="C26" s="42"/>
      <c r="D26" s="43" t="str">
        <f>销货确认书!C24</f>
        <v>RIPPER</v>
      </c>
      <c r="E26" s="44" t="s">
        <v>22</v>
      </c>
      <c r="F26" s="42"/>
      <c r="G26" s="44" t="s">
        <v>22</v>
      </c>
      <c r="H26" s="45" t="s">
        <v>97</v>
      </c>
      <c r="I26" s="45">
        <f>销货确认书!F24</f>
        <v>1</v>
      </c>
      <c r="J26" s="46">
        <v>120</v>
      </c>
      <c r="K26" s="47" t="s">
        <v>174</v>
      </c>
      <c r="L26" s="41" t="s">
        <v>171</v>
      </c>
      <c r="M26" s="41" t="s">
        <v>53</v>
      </c>
      <c r="N26" s="41" t="s">
        <v>22</v>
      </c>
      <c r="O26" s="42"/>
      <c r="P26" s="48" t="s">
        <v>22</v>
      </c>
    </row>
    <row r="27" ht="15" customHeight="1" spans="1:16">
      <c r="A27" s="49"/>
      <c r="B27" s="50"/>
      <c r="C27" s="50"/>
      <c r="D27" s="12"/>
      <c r="E27" s="12"/>
      <c r="F27" s="12"/>
      <c r="G27" s="12"/>
      <c r="H27" s="51"/>
      <c r="I27" s="51"/>
      <c r="J27" s="52"/>
      <c r="K27" s="50"/>
      <c r="L27" s="50"/>
      <c r="M27" s="50"/>
      <c r="N27" s="50"/>
      <c r="O27" s="50"/>
      <c r="P27" s="16"/>
    </row>
    <row r="28" ht="15" customHeight="1" spans="1:16">
      <c r="A28" s="40">
        <v>5</v>
      </c>
      <c r="B28" s="41" t="s">
        <v>28</v>
      </c>
      <c r="C28" s="42"/>
      <c r="D28" s="43" t="str">
        <f>销货确认书!C25</f>
        <v>AUGER</v>
      </c>
      <c r="E28" s="44" t="s">
        <v>22</v>
      </c>
      <c r="F28" s="42"/>
      <c r="G28" s="44" t="s">
        <v>22</v>
      </c>
      <c r="H28" s="45" t="s">
        <v>97</v>
      </c>
      <c r="I28" s="45">
        <f>销货确认书!F25</f>
        <v>1</v>
      </c>
      <c r="J28" s="46">
        <v>600</v>
      </c>
      <c r="K28" s="47" t="s">
        <v>175</v>
      </c>
      <c r="L28" s="41" t="s">
        <v>171</v>
      </c>
      <c r="M28" s="41" t="s">
        <v>53</v>
      </c>
      <c r="N28" s="41" t="s">
        <v>22</v>
      </c>
      <c r="O28" s="42"/>
      <c r="P28" s="48" t="s">
        <v>22</v>
      </c>
    </row>
    <row r="29" ht="15" customHeight="1" spans="1:16">
      <c r="A29" s="49"/>
      <c r="B29" s="50"/>
      <c r="C29" s="50"/>
      <c r="D29" s="12"/>
      <c r="E29" s="12"/>
      <c r="F29" s="12"/>
      <c r="G29" s="12"/>
      <c r="H29" s="51"/>
      <c r="I29" s="51"/>
      <c r="J29" s="52"/>
      <c r="K29" s="50"/>
      <c r="L29" s="50"/>
      <c r="M29" s="50"/>
      <c r="N29" s="50"/>
      <c r="O29" s="50"/>
      <c r="P29" s="16"/>
    </row>
    <row r="30" ht="15" customHeight="1" spans="1:16">
      <c r="A30" s="40">
        <v>6</v>
      </c>
      <c r="B30" s="41" t="s">
        <v>28</v>
      </c>
      <c r="C30" s="42"/>
      <c r="D30" s="43" t="str">
        <f>销货确认书!C26</f>
        <v>FORK</v>
      </c>
      <c r="E30" s="44" t="s">
        <v>22</v>
      </c>
      <c r="F30" s="42"/>
      <c r="G30" s="44" t="s">
        <v>22</v>
      </c>
      <c r="H30" s="45" t="s">
        <v>97</v>
      </c>
      <c r="I30" s="45">
        <f>销货确认书!F26</f>
        <v>1</v>
      </c>
      <c r="J30" s="46">
        <v>200</v>
      </c>
      <c r="K30" s="47" t="s">
        <v>176</v>
      </c>
      <c r="L30" s="41" t="s">
        <v>171</v>
      </c>
      <c r="M30" s="41" t="s">
        <v>53</v>
      </c>
      <c r="N30" s="41" t="s">
        <v>22</v>
      </c>
      <c r="O30" s="42"/>
      <c r="P30" s="48" t="s">
        <v>22</v>
      </c>
    </row>
    <row r="31" ht="15" customHeight="1" spans="1:16">
      <c r="A31" s="49"/>
      <c r="B31" s="50"/>
      <c r="C31" s="50"/>
      <c r="D31" s="12"/>
      <c r="E31" s="12"/>
      <c r="F31" s="12"/>
      <c r="G31" s="12"/>
      <c r="H31" s="51"/>
      <c r="I31" s="51"/>
      <c r="J31" s="52"/>
      <c r="K31" s="50"/>
      <c r="L31" s="50"/>
      <c r="M31" s="50"/>
      <c r="N31" s="50"/>
      <c r="O31" s="50"/>
      <c r="P31" s="16"/>
    </row>
    <row r="32" ht="15" customHeight="1" spans="1:16">
      <c r="A32" s="40">
        <v>7</v>
      </c>
      <c r="B32" s="41" t="s">
        <v>21</v>
      </c>
      <c r="C32" s="42"/>
      <c r="D32" s="43" t="str">
        <f>销货确认书!C27</f>
        <v>二手挖掘机</v>
      </c>
      <c r="E32" s="44" t="s">
        <v>22</v>
      </c>
      <c r="F32" s="42"/>
      <c r="G32" s="44" t="s">
        <v>22</v>
      </c>
      <c r="H32" s="45" t="s">
        <v>97</v>
      </c>
      <c r="I32" s="45">
        <f>销货确认书!F27</f>
        <v>0</v>
      </c>
      <c r="J32" s="46">
        <v>5300</v>
      </c>
      <c r="K32" s="47" t="s">
        <v>177</v>
      </c>
      <c r="L32" s="41" t="s">
        <v>171</v>
      </c>
      <c r="M32" s="41" t="s">
        <v>53</v>
      </c>
      <c r="N32" s="41" t="s">
        <v>22</v>
      </c>
      <c r="O32" s="42"/>
      <c r="P32" s="48" t="s">
        <v>22</v>
      </c>
    </row>
    <row r="33" ht="15" customHeight="1" spans="1:16">
      <c r="A33" s="49"/>
      <c r="B33" s="50"/>
      <c r="C33" s="50"/>
      <c r="D33" s="12"/>
      <c r="E33" s="12"/>
      <c r="F33" s="12"/>
      <c r="G33" s="12"/>
      <c r="H33" s="51"/>
      <c r="I33" s="51"/>
      <c r="J33" s="52"/>
      <c r="K33" s="50"/>
      <c r="L33" s="50"/>
      <c r="M33" s="50"/>
      <c r="N33" s="50"/>
      <c r="O33" s="50"/>
      <c r="P33" s="16"/>
    </row>
    <row r="34" ht="15" customHeight="1" spans="1:16">
      <c r="A34" s="40">
        <v>8</v>
      </c>
      <c r="B34" s="41" t="s">
        <v>25</v>
      </c>
      <c r="C34" s="42"/>
      <c r="D34" s="43" t="str">
        <f>销货确认书!C28</f>
        <v>挖斗</v>
      </c>
      <c r="E34" s="44" t="s">
        <v>22</v>
      </c>
      <c r="F34" s="42"/>
      <c r="G34" s="44" t="s">
        <v>22</v>
      </c>
      <c r="H34" s="45" t="s">
        <v>97</v>
      </c>
      <c r="I34" s="45">
        <f>销货确认书!F28</f>
        <v>0</v>
      </c>
      <c r="J34" s="46">
        <v>150</v>
      </c>
      <c r="K34" s="47" t="s">
        <v>177</v>
      </c>
      <c r="L34" s="41" t="s">
        <v>171</v>
      </c>
      <c r="M34" s="41" t="s">
        <v>53</v>
      </c>
      <c r="N34" s="41" t="s">
        <v>22</v>
      </c>
      <c r="O34" s="42"/>
      <c r="P34" s="48" t="s">
        <v>22</v>
      </c>
    </row>
    <row r="35" ht="15" customHeight="1" spans="1:16">
      <c r="A35" s="49"/>
      <c r="B35" s="50"/>
      <c r="C35" s="50"/>
      <c r="D35" s="12"/>
      <c r="E35" s="12"/>
      <c r="F35" s="12"/>
      <c r="G35" s="12"/>
      <c r="H35" s="51"/>
      <c r="I35" s="51"/>
      <c r="J35" s="52"/>
      <c r="K35" s="50"/>
      <c r="L35" s="50"/>
      <c r="M35" s="50"/>
      <c r="N35" s="50"/>
      <c r="O35" s="50"/>
      <c r="P35" s="16"/>
    </row>
    <row r="36" ht="15" customHeight="1" spans="1:16">
      <c r="A36" s="40">
        <v>9</v>
      </c>
      <c r="B36" s="41" t="s">
        <v>28</v>
      </c>
      <c r="C36" s="42"/>
      <c r="D36" s="43" t="str">
        <f>销货确认书!C29</f>
        <v>松土器</v>
      </c>
      <c r="E36" s="44" t="s">
        <v>22</v>
      </c>
      <c r="F36" s="42"/>
      <c r="G36" s="44" t="s">
        <v>22</v>
      </c>
      <c r="H36" s="45" t="s">
        <v>97</v>
      </c>
      <c r="I36" s="45">
        <f>销货确认书!F29</f>
        <v>0</v>
      </c>
      <c r="J36" s="46">
        <v>120</v>
      </c>
      <c r="K36" s="47" t="s">
        <v>177</v>
      </c>
      <c r="L36" s="41" t="s">
        <v>171</v>
      </c>
      <c r="M36" s="41" t="s">
        <v>53</v>
      </c>
      <c r="N36" s="41" t="s">
        <v>22</v>
      </c>
      <c r="O36" s="42"/>
      <c r="P36" s="48" t="s">
        <v>22</v>
      </c>
    </row>
    <row r="37" ht="15" customHeight="1" spans="1:16">
      <c r="A37" s="49"/>
      <c r="B37" s="50"/>
      <c r="C37" s="50"/>
      <c r="D37" s="12"/>
      <c r="E37" s="12"/>
      <c r="F37" s="12"/>
      <c r="G37" s="12"/>
      <c r="H37" s="51"/>
      <c r="I37" s="51"/>
      <c r="J37" s="52"/>
      <c r="K37" s="50"/>
      <c r="L37" s="50"/>
      <c r="M37" s="50"/>
      <c r="N37" s="50"/>
      <c r="O37" s="50"/>
      <c r="P37" s="16"/>
    </row>
    <row r="38" ht="15" customHeight="1" spans="1:16">
      <c r="A38" s="40">
        <v>10</v>
      </c>
      <c r="B38" s="41" t="s">
        <v>28</v>
      </c>
      <c r="C38" s="42"/>
      <c r="D38" s="43" t="str">
        <f>销货确认书!C30</f>
        <v>螺旋钻</v>
      </c>
      <c r="E38" s="44" t="s">
        <v>22</v>
      </c>
      <c r="F38" s="42"/>
      <c r="G38" s="44" t="s">
        <v>22</v>
      </c>
      <c r="H38" s="45" t="s">
        <v>97</v>
      </c>
      <c r="I38" s="45">
        <f>销货确认书!F30</f>
        <v>0</v>
      </c>
      <c r="J38" s="46">
        <v>600</v>
      </c>
      <c r="K38" s="47" t="s">
        <v>177</v>
      </c>
      <c r="L38" s="41" t="s">
        <v>171</v>
      </c>
      <c r="M38" s="41" t="s">
        <v>53</v>
      </c>
      <c r="N38" s="41" t="s">
        <v>22</v>
      </c>
      <c r="O38" s="42"/>
      <c r="P38" s="48" t="s">
        <v>22</v>
      </c>
    </row>
    <row r="39" ht="15" customHeight="1" spans="1:16">
      <c r="A39" s="49"/>
      <c r="B39" s="50"/>
      <c r="C39" s="50"/>
      <c r="D39" s="12"/>
      <c r="E39" s="12"/>
      <c r="F39" s="12"/>
      <c r="G39" s="12"/>
      <c r="H39" s="51"/>
      <c r="I39" s="51"/>
      <c r="J39" s="52"/>
      <c r="K39" s="50"/>
      <c r="L39" s="50"/>
      <c r="M39" s="50"/>
      <c r="N39" s="50"/>
      <c r="O39" s="50"/>
      <c r="P39" s="16"/>
    </row>
    <row r="40" ht="15" customHeight="1" spans="1:16">
      <c r="A40" s="40">
        <v>11</v>
      </c>
      <c r="B40" s="41" t="s">
        <v>28</v>
      </c>
      <c r="C40" s="42"/>
      <c r="D40" s="43" t="str">
        <f>销货确认书!C31</f>
        <v>货叉</v>
      </c>
      <c r="E40" s="44" t="s">
        <v>22</v>
      </c>
      <c r="F40" s="42"/>
      <c r="G40" s="44" t="s">
        <v>22</v>
      </c>
      <c r="H40" s="45" t="s">
        <v>97</v>
      </c>
      <c r="I40" s="45">
        <f>销货确认书!F31</f>
        <v>0</v>
      </c>
      <c r="J40" s="46">
        <v>200</v>
      </c>
      <c r="K40" s="47" t="s">
        <v>177</v>
      </c>
      <c r="L40" s="41" t="s">
        <v>171</v>
      </c>
      <c r="M40" s="41" t="s">
        <v>53</v>
      </c>
      <c r="N40" s="41" t="s">
        <v>22</v>
      </c>
      <c r="O40" s="42"/>
      <c r="P40" s="48" t="s">
        <v>22</v>
      </c>
    </row>
    <row r="41" ht="15" customHeight="1" spans="1:16">
      <c r="A41" s="49"/>
      <c r="B41" s="50"/>
      <c r="C41" s="50"/>
      <c r="D41" s="12"/>
      <c r="E41" s="12"/>
      <c r="F41" s="12"/>
      <c r="G41" s="12"/>
      <c r="H41" s="51"/>
      <c r="I41" s="51"/>
      <c r="J41" s="52"/>
      <c r="K41" s="50"/>
      <c r="L41" s="50"/>
      <c r="M41" s="50"/>
      <c r="N41" s="50"/>
      <c r="O41" s="50"/>
      <c r="P41" s="16"/>
    </row>
    <row r="42" ht="8.25" customHeight="1" spans="1:16">
      <c r="A42" s="53"/>
      <c r="B42" s="54"/>
      <c r="C42" s="55"/>
      <c r="D42" s="54"/>
      <c r="E42" s="55"/>
      <c r="F42" s="56"/>
      <c r="G42" s="56"/>
      <c r="H42" s="57"/>
      <c r="I42" s="54"/>
      <c r="J42" s="56"/>
      <c r="K42" s="54"/>
      <c r="L42" s="54"/>
      <c r="M42" s="54"/>
      <c r="N42" s="54"/>
      <c r="O42" s="55"/>
      <c r="P42" s="58"/>
    </row>
    <row r="43" ht="11.25" customHeight="1" spans="1:16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1"/>
    </row>
    <row r="44" ht="11.25" customHeight="1" spans="1:16">
      <c r="A44" s="62" t="s">
        <v>178</v>
      </c>
      <c r="B44" s="18"/>
      <c r="C44" s="63" t="s">
        <v>179</v>
      </c>
      <c r="D44" s="18"/>
      <c r="E44" s="64" t="s">
        <v>180</v>
      </c>
      <c r="F44" s="18"/>
      <c r="G44" s="65" t="s">
        <v>181</v>
      </c>
      <c r="H44" s="18"/>
      <c r="I44" s="18"/>
      <c r="J44" s="18"/>
      <c r="K44" s="18"/>
      <c r="L44" s="19"/>
      <c r="M44" s="66" t="s">
        <v>182</v>
      </c>
      <c r="N44" s="18"/>
      <c r="O44" s="67"/>
      <c r="P44" s="68"/>
    </row>
    <row r="45" ht="11.25" customHeight="1" spans="1:16">
      <c r="A45" s="69"/>
      <c r="C45" s="70"/>
      <c r="D45" s="70"/>
      <c r="E45" s="70"/>
      <c r="F45" s="70"/>
      <c r="G45" s="70"/>
      <c r="H45" s="70"/>
      <c r="I45" s="70"/>
      <c r="J45" s="70"/>
      <c r="K45" s="70"/>
      <c r="L45" s="71"/>
      <c r="M45" s="72"/>
      <c r="N45" s="70"/>
      <c r="O45" s="70"/>
      <c r="P45" s="73"/>
    </row>
    <row r="46" ht="15" customHeight="1" spans="1:16">
      <c r="A46" s="74" t="s">
        <v>183</v>
      </c>
      <c r="B46" s="3"/>
      <c r="C46" s="75"/>
      <c r="D46" s="75"/>
      <c r="E46" s="75"/>
      <c r="F46" s="75"/>
      <c r="G46" s="75"/>
      <c r="H46" s="76" t="s">
        <v>184</v>
      </c>
      <c r="I46" s="3"/>
      <c r="J46" s="3"/>
      <c r="K46" s="3"/>
      <c r="L46" s="77"/>
      <c r="M46" s="78"/>
      <c r="N46" s="75"/>
      <c r="O46" s="75"/>
      <c r="P46" s="79"/>
    </row>
  </sheetData>
  <mergeCells count="206">
    <mergeCell ref="A4:D4"/>
    <mergeCell ref="E4:G4"/>
    <mergeCell ref="H4:I4"/>
    <mergeCell ref="O4:P4"/>
    <mergeCell ref="A5:D5"/>
    <mergeCell ref="E5:G5"/>
    <mergeCell ref="H5:J5"/>
    <mergeCell ref="K5:M5"/>
    <mergeCell ref="N5:P5"/>
    <mergeCell ref="A6:D6"/>
    <mergeCell ref="E6:G6"/>
    <mergeCell ref="H6:J6"/>
    <mergeCell ref="K6:M6"/>
    <mergeCell ref="N6:P6"/>
    <mergeCell ref="A7:D7"/>
    <mergeCell ref="E7:G7"/>
    <mergeCell ref="H7:J7"/>
    <mergeCell ref="K7:P7"/>
    <mergeCell ref="A8:D8"/>
    <mergeCell ref="E8:G8"/>
    <mergeCell ref="H8:J8"/>
    <mergeCell ref="K8:P8"/>
    <mergeCell ref="A9:D9"/>
    <mergeCell ref="E9:G9"/>
    <mergeCell ref="H9:J9"/>
    <mergeCell ref="K9:P9"/>
    <mergeCell ref="A10:D10"/>
    <mergeCell ref="E10:G10"/>
    <mergeCell ref="H10:J10"/>
    <mergeCell ref="K10:P10"/>
    <mergeCell ref="A11:D11"/>
    <mergeCell ref="E11:G11"/>
    <mergeCell ref="H11:J11"/>
    <mergeCell ref="K11:M11"/>
    <mergeCell ref="N11:P11"/>
    <mergeCell ref="A12:D12"/>
    <mergeCell ref="E12:G12"/>
    <mergeCell ref="H12:J12"/>
    <mergeCell ref="K12:M12"/>
    <mergeCell ref="N12:P12"/>
    <mergeCell ref="A13:D13"/>
    <mergeCell ref="F13:G13"/>
    <mergeCell ref="H13:I13"/>
    <mergeCell ref="K13:L13"/>
    <mergeCell ref="M13:N13"/>
    <mergeCell ref="O13:P13"/>
    <mergeCell ref="A14:D14"/>
    <mergeCell ref="F14:G14"/>
    <mergeCell ref="H14:I14"/>
    <mergeCell ref="K14:L14"/>
    <mergeCell ref="M14:N14"/>
    <mergeCell ref="O14:P14"/>
    <mergeCell ref="A15:P15"/>
    <mergeCell ref="A16:P16"/>
    <mergeCell ref="A17:P17"/>
    <mergeCell ref="A18:P18"/>
    <mergeCell ref="B19:C19"/>
    <mergeCell ref="D19:G19"/>
    <mergeCell ref="H19:I19"/>
    <mergeCell ref="J19:K19"/>
    <mergeCell ref="N19:O19"/>
    <mergeCell ref="B42:C42"/>
    <mergeCell ref="D42:E42"/>
    <mergeCell ref="N42:O42"/>
    <mergeCell ref="A43:P43"/>
    <mergeCell ref="A44:B44"/>
    <mergeCell ref="C44:D44"/>
    <mergeCell ref="E44:F44"/>
    <mergeCell ref="G44:L44"/>
    <mergeCell ref="M44:N44"/>
    <mergeCell ref="A45:B45"/>
    <mergeCell ref="A46:B46"/>
    <mergeCell ref="H46:L46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E32:F33"/>
    <mergeCell ref="B28:C29"/>
    <mergeCell ref="N28:O29"/>
    <mergeCell ref="B30:C31"/>
    <mergeCell ref="N30:O31"/>
    <mergeCell ref="A1:P3"/>
    <mergeCell ref="B32:C33"/>
    <mergeCell ref="N32:O33"/>
    <mergeCell ref="E20:F21"/>
    <mergeCell ref="E28:F29"/>
    <mergeCell ref="B34:C35"/>
    <mergeCell ref="N34:O35"/>
    <mergeCell ref="E30:F31"/>
    <mergeCell ref="B36:C37"/>
    <mergeCell ref="N36:O37"/>
    <mergeCell ref="B20:C21"/>
    <mergeCell ref="N20:O21"/>
    <mergeCell ref="B22:C23"/>
    <mergeCell ref="N22:O23"/>
    <mergeCell ref="E24:F25"/>
    <mergeCell ref="E34:F35"/>
    <mergeCell ref="B38:C39"/>
    <mergeCell ref="N38:O39"/>
    <mergeCell ref="B24:C25"/>
    <mergeCell ref="N24:O25"/>
    <mergeCell ref="E36:F37"/>
    <mergeCell ref="B40:C41"/>
    <mergeCell ref="N40:O41"/>
    <mergeCell ref="E22:F23"/>
    <mergeCell ref="B26:C27"/>
    <mergeCell ref="N26:O27"/>
    <mergeCell ref="E38:F39"/>
    <mergeCell ref="E40:F41"/>
    <mergeCell ref="E26:F27"/>
  </mergeCells>
  <printOptions horizontalCentered="1"/>
  <pageMargins left="0.118110236220472" right="0.118110236220472" top="0.196850393700787" bottom="0.15748031496063" header="0.31496062992126" footer="0.31496062992126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装箱清单</vt:lpstr>
      <vt:lpstr>发票</vt:lpstr>
      <vt:lpstr>申报要素</vt:lpstr>
      <vt:lpstr>销货确认书</vt:lpstr>
      <vt:lpstr>报关单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_繁紮~黎晨~</cp:lastModifiedBy>
  <dcterms:created xsi:type="dcterms:W3CDTF">2005-10-28T01:37:00Z</dcterms:created>
  <cp:lastPrinted>2025-01-20T09:07:00Z</cp:lastPrinted>
  <dcterms:modified xsi:type="dcterms:W3CDTF">2026-10-23T11:38:11Z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47CFD9D3447F4C8C8936009655F033E0_13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